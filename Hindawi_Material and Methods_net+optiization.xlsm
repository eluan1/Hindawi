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luan\Downloads\"/>
    </mc:Choice>
  </mc:AlternateContent>
  <xr:revisionPtr revIDLastSave="0" documentId="8_{DDCBCBCB-16C0-4AEE-84CF-C594339273E4}" xr6:coauthVersionLast="47" xr6:coauthVersionMax="47" xr10:uidLastSave="{00000000-0000-0000-0000-000000000000}"/>
  <bookViews>
    <workbookView xWindow="-120" yWindow="-120" windowWidth="20730" windowHeight="11040" xr2:uid="{B7F36F32-A818-4BE6-8F86-9ABC30E62E8D}"/>
  </bookViews>
  <sheets>
    <sheet name="CASE 1" sheetId="1" r:id="rId1"/>
    <sheet name="AG CASE " sheetId="3" r:id="rId2"/>
  </sheets>
  <definedNames>
    <definedName name="solver_adj" localSheetId="1" hidden="1">'AG CASE '!$C$26:$G$27,'AG CASE '!$C$29:$C$30</definedName>
    <definedName name="solver_cvg" localSheetId="1" hidden="1">0.000000001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'AG CASE '!$C$26:$G$26</definedName>
    <definedName name="solver_lhs10" localSheetId="1" hidden="1">'AG CASE '!$C$30</definedName>
    <definedName name="solver_lhs11" localSheetId="1" hidden="1">'AG CASE '!$C$26:$G$27</definedName>
    <definedName name="solver_lhs12" localSheetId="1" hidden="1">'AG CASE '!$C$29:$C$30</definedName>
    <definedName name="solver_lhs13" localSheetId="1" hidden="1">'AG CASE '!$C$26:$G$26</definedName>
    <definedName name="solver_lhs14" localSheetId="1" hidden="1">'AG CASE '!$C$26:$G$26</definedName>
    <definedName name="solver_lhs15" localSheetId="1" hidden="1">'AG CASE '!$C$27:$G$27</definedName>
    <definedName name="solver_lhs16" localSheetId="1" hidden="1">'AG CASE '!$C$27:$G$27</definedName>
    <definedName name="solver_lhs17" localSheetId="1" hidden="1">'AG CASE '!$C$29</definedName>
    <definedName name="solver_lhs18" localSheetId="1" hidden="1">'AG CASE '!$C$29</definedName>
    <definedName name="solver_lhs19" localSheetId="1" hidden="1">'AG CASE '!$C$30</definedName>
    <definedName name="solver_lhs2" localSheetId="1" hidden="1">'AG CASE '!$C$26:$G$26</definedName>
    <definedName name="solver_lhs20" localSheetId="1" hidden="1">'AG CASE '!$C$30</definedName>
    <definedName name="solver_lhs3" localSheetId="1" hidden="1">'AG CASE '!$C$26:$G$27</definedName>
    <definedName name="solver_lhs4" localSheetId="1" hidden="1">'AG CASE '!$C$27:$G$27</definedName>
    <definedName name="solver_lhs5" localSheetId="1" hidden="1">'AG CASE '!$C$27:$G$27</definedName>
    <definedName name="solver_lhs6" localSheetId="1" hidden="1">'AG CASE '!$C$29</definedName>
    <definedName name="solver_lhs7" localSheetId="1" hidden="1">'AG CASE '!$C$29</definedName>
    <definedName name="solver_lhs8" localSheetId="1" hidden="1">'AG CASE '!$C$29:$C$30</definedName>
    <definedName name="solver_lhs9" localSheetId="1" hidden="1">'AG CASE '!$C$30</definedName>
    <definedName name="solver_mip" localSheetId="1" hidden="1">2147483647</definedName>
    <definedName name="solver_mni" localSheetId="1" hidden="1">1200</definedName>
    <definedName name="solver_mrt" localSheetId="1" hidden="1">0.0015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20</definedName>
    <definedName name="solver_nwt" localSheetId="1" hidden="1">1</definedName>
    <definedName name="solver_opt" localSheetId="1" hidden="1">'AG CASE '!$N$15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0" localSheetId="1" hidden="1">3</definedName>
    <definedName name="solver_rel11" localSheetId="1" hidden="1">4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1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1</definedName>
    <definedName name="solver_rel2" localSheetId="1" hidden="1">3</definedName>
    <definedName name="solver_rel20" localSheetId="1" hidden="1">3</definedName>
    <definedName name="solver_rel3" localSheetId="1" hidden="1">4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4</definedName>
    <definedName name="solver_rel9" localSheetId="1" hidden="1">1</definedName>
    <definedName name="solver_rhs1" localSheetId="1" hidden="1">'AG CASE '!$D$15</definedName>
    <definedName name="solver_rhs10" localSheetId="1" hidden="1">'AG CASE '!$C$16</definedName>
    <definedName name="solver_rhs11" localSheetId="1" hidden="1">"número inteiro"</definedName>
    <definedName name="solver_rhs12" localSheetId="1" hidden="1">"número inteiro"</definedName>
    <definedName name="solver_rhs13" localSheetId="1" hidden="1">'AG CASE '!$D$15</definedName>
    <definedName name="solver_rhs14" localSheetId="1" hidden="1">'AG CASE '!$C$15</definedName>
    <definedName name="solver_rhs15" localSheetId="1" hidden="1">'AG CASE '!$D$16</definedName>
    <definedName name="solver_rhs16" localSheetId="1" hidden="1">'AG CASE '!$C$16</definedName>
    <definedName name="solver_rhs17" localSheetId="1" hidden="1">'AG CASE '!$D$15</definedName>
    <definedName name="solver_rhs18" localSheetId="1" hidden="1">'AG CASE '!$C$15</definedName>
    <definedName name="solver_rhs19" localSheetId="1" hidden="1">'AG CASE '!$D$16</definedName>
    <definedName name="solver_rhs2" localSheetId="1" hidden="1">'AG CASE '!$C$15</definedName>
    <definedName name="solver_rhs20" localSheetId="1" hidden="1">'AG CASE '!$C$16</definedName>
    <definedName name="solver_rhs3" localSheetId="1" hidden="1">"número inteiro"</definedName>
    <definedName name="solver_rhs4" localSheetId="1" hidden="1">'AG CASE '!$D$16</definedName>
    <definedName name="solver_rhs5" localSheetId="1" hidden="1">'AG CASE '!$C$16</definedName>
    <definedName name="solver_rhs6" localSheetId="1" hidden="1">'AG CASE '!$D$15</definedName>
    <definedName name="solver_rhs7" localSheetId="1" hidden="1">'AG CASE '!$C$15</definedName>
    <definedName name="solver_rhs8" localSheetId="1" hidden="1">"número inteiro"</definedName>
    <definedName name="solver_rhs9" localSheetId="1" hidden="1">'AG CASE '!$D$16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950</definedName>
    <definedName name="solver_tim" localSheetId="1" hidden="1">2147483647</definedName>
    <definedName name="solver_tol" localSheetId="1" hidden="1">0.001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S9" i="1"/>
  <c r="S8" i="1"/>
  <c r="C78" i="1"/>
  <c r="C77" i="1"/>
  <c r="C76" i="1"/>
  <c r="C75" i="1"/>
  <c r="C74" i="1"/>
  <c r="C73" i="1"/>
  <c r="C72" i="1"/>
  <c r="C71" i="1"/>
  <c r="E71" i="1" s="1"/>
  <c r="C70" i="1"/>
  <c r="C69" i="1"/>
  <c r="C68" i="1"/>
  <c r="C67" i="1"/>
  <c r="C66" i="1"/>
  <c r="C65" i="1"/>
  <c r="C64" i="1"/>
  <c r="C63" i="1"/>
  <c r="E63" i="1" s="1"/>
  <c r="C62" i="1"/>
  <c r="C61" i="1"/>
  <c r="C60" i="1"/>
  <c r="C59" i="1"/>
  <c r="C58" i="1"/>
  <c r="C57" i="1"/>
  <c r="E57" i="1" s="1"/>
  <c r="C56" i="1"/>
  <c r="E56" i="1" s="1"/>
  <c r="C55" i="1"/>
  <c r="E55" i="1" s="1"/>
  <c r="C54" i="1"/>
  <c r="D53" i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C53" i="1"/>
  <c r="E53" i="1" s="1"/>
  <c r="I13" i="1"/>
  <c r="I10" i="1"/>
  <c r="S14" i="3"/>
  <c r="S12" i="3"/>
  <c r="E53" i="3"/>
  <c r="D56" i="3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55" i="3"/>
  <c r="D54" i="3"/>
  <c r="D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53" i="3"/>
  <c r="S10" i="3"/>
  <c r="E64" i="1" l="1"/>
  <c r="E72" i="1"/>
  <c r="E65" i="1"/>
  <c r="E73" i="1"/>
  <c r="E58" i="1"/>
  <c r="E66" i="1"/>
  <c r="E74" i="1"/>
  <c r="E59" i="1"/>
  <c r="E67" i="1"/>
  <c r="E75" i="1"/>
  <c r="E60" i="1"/>
  <c r="E68" i="1"/>
  <c r="E76" i="1"/>
  <c r="E61" i="1"/>
  <c r="E69" i="1"/>
  <c r="E77" i="1"/>
  <c r="E54" i="1"/>
  <c r="S12" i="1" s="1"/>
  <c r="E62" i="1"/>
  <c r="E70" i="1"/>
  <c r="E78" i="1"/>
  <c r="E54" i="3"/>
  <c r="E55" i="3"/>
  <c r="E56" i="3"/>
  <c r="E57" i="3" l="1"/>
  <c r="E58" i="3" l="1"/>
  <c r="E59" i="3" l="1"/>
  <c r="E60" i="3" l="1"/>
  <c r="E61" i="3" l="1"/>
  <c r="E62" i="3" l="1"/>
  <c r="E63" i="3" l="1"/>
  <c r="E64" i="3" l="1"/>
  <c r="E65" i="3" l="1"/>
  <c r="E66" i="3" l="1"/>
  <c r="E67" i="3" l="1"/>
  <c r="E68" i="3" l="1"/>
  <c r="E69" i="3" l="1"/>
  <c r="E70" i="3" l="1"/>
  <c r="E71" i="3" l="1"/>
  <c r="E72" i="3" l="1"/>
  <c r="E73" i="3" l="1"/>
  <c r="E74" i="3" l="1"/>
  <c r="E75" i="3" l="1"/>
  <c r="E76" i="3" l="1"/>
  <c r="E78" i="3" l="1"/>
  <c r="E77" i="3"/>
  <c r="I13" i="3" l="1"/>
  <c r="I10" i="3"/>
  <c r="H50" i="3"/>
  <c r="G50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H33" i="3"/>
  <c r="G33" i="3"/>
  <c r="C23" i="3"/>
  <c r="C22" i="3"/>
  <c r="I14" i="3"/>
  <c r="I6" i="3"/>
  <c r="I4" i="3"/>
  <c r="C23" i="1"/>
  <c r="C22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33" i="1"/>
  <c r="C19" i="1" l="1"/>
  <c r="C20" i="1"/>
  <c r="C21" i="1" s="1"/>
  <c r="F21" i="1"/>
  <c r="N13" i="1" s="1"/>
  <c r="F21" i="3"/>
  <c r="S9" i="3"/>
  <c r="J49" i="3"/>
  <c r="J45" i="3"/>
  <c r="I50" i="3"/>
  <c r="I42" i="3"/>
  <c r="J48" i="3"/>
  <c r="I44" i="3"/>
  <c r="J36" i="3"/>
  <c r="J50" i="3"/>
  <c r="I46" i="3"/>
  <c r="I41" i="3"/>
  <c r="J37" i="3"/>
  <c r="I39" i="3"/>
  <c r="I35" i="3"/>
  <c r="J42" i="3"/>
  <c r="I38" i="3"/>
  <c r="J34" i="3"/>
  <c r="I48" i="3"/>
  <c r="J44" i="3"/>
  <c r="J40" i="3"/>
  <c r="I36" i="3"/>
  <c r="J47" i="3"/>
  <c r="J43" i="3"/>
  <c r="J39" i="3"/>
  <c r="J35" i="3"/>
  <c r="J38" i="3"/>
  <c r="I40" i="3"/>
  <c r="I34" i="3"/>
  <c r="J46" i="3"/>
  <c r="I37" i="3"/>
  <c r="I49" i="3"/>
  <c r="I45" i="3"/>
  <c r="J41" i="3"/>
  <c r="I43" i="3"/>
  <c r="I47" i="3"/>
  <c r="I33" i="3"/>
  <c r="J33" i="3"/>
  <c r="F23" i="3"/>
  <c r="F24" i="3" s="1"/>
  <c r="O14" i="3" s="1"/>
  <c r="N13" i="3"/>
  <c r="F22" i="3"/>
  <c r="O13" i="3" s="1"/>
  <c r="F19" i="1" l="1"/>
  <c r="N12" i="1" s="1"/>
  <c r="S11" i="1"/>
  <c r="S14" i="1" s="1"/>
  <c r="C20" i="3"/>
  <c r="C19" i="3"/>
  <c r="N14" i="3"/>
  <c r="C21" i="3" l="1"/>
  <c r="I14" i="1"/>
  <c r="F23" i="1" s="1"/>
  <c r="I6" i="1"/>
  <c r="I4" i="1"/>
  <c r="N14" i="1" l="1"/>
  <c r="N15" i="1" s="1"/>
  <c r="F24" i="1"/>
  <c r="O14" i="1" s="1"/>
  <c r="F19" i="3"/>
  <c r="F20" i="3" s="1"/>
  <c r="O12" i="3" s="1"/>
  <c r="O15" i="3" s="1"/>
  <c r="S8" i="3"/>
  <c r="S11" i="3" s="1"/>
  <c r="F22" i="1"/>
  <c r="O13" i="1" s="1"/>
  <c r="F20" i="1"/>
  <c r="O12" i="1" s="1"/>
  <c r="O15" i="1" l="1"/>
  <c r="N12" i="3"/>
  <c r="N15" i="3" s="1"/>
</calcChain>
</file>

<file path=xl/sharedStrings.xml><?xml version="1.0" encoding="utf-8"?>
<sst xmlns="http://schemas.openxmlformats.org/spreadsheetml/2006/main" count="259" uniqueCount="92">
  <si>
    <t>Parameter panels</t>
  </si>
  <si>
    <t>Model</t>
  </si>
  <si>
    <t>Power</t>
  </si>
  <si>
    <t>Voc in NOCT</t>
  </si>
  <si>
    <t>Imp NOCT</t>
  </si>
  <si>
    <t>W</t>
  </si>
  <si>
    <t>V</t>
  </si>
  <si>
    <t>A</t>
  </si>
  <si>
    <t>RS8I550M</t>
  </si>
  <si>
    <t>Parameter Inverter</t>
  </si>
  <si>
    <t>Imp</t>
  </si>
  <si>
    <t>Vac</t>
  </si>
  <si>
    <t>PV System Configuration</t>
  </si>
  <si>
    <t>Number panels</t>
  </si>
  <si>
    <t>Total power panels</t>
  </si>
  <si>
    <t>Number inverter</t>
  </si>
  <si>
    <t>Total power inverter</t>
  </si>
  <si>
    <t>GW120K-HT</t>
  </si>
  <si>
    <t>kW</t>
  </si>
  <si>
    <t>Number of strings</t>
  </si>
  <si>
    <t>Number panels per strings</t>
  </si>
  <si>
    <t>Current per strings</t>
  </si>
  <si>
    <t>Voltage per strings</t>
  </si>
  <si>
    <t>Cable configuration</t>
  </si>
  <si>
    <t>Panels to inversor</t>
  </si>
  <si>
    <t>Resistance cable CC</t>
  </si>
  <si>
    <t>mm²</t>
  </si>
  <si>
    <t>Inverter to transformer</t>
  </si>
  <si>
    <t>Resistance cable CA</t>
  </si>
  <si>
    <t>Transformer to meter</t>
  </si>
  <si>
    <t>Resistance cable MT</t>
  </si>
  <si>
    <t>Ω /m</t>
  </si>
  <si>
    <t>Transformer voltage primary</t>
  </si>
  <si>
    <t>Transformer voltage secondary</t>
  </si>
  <si>
    <t>Transformer current secondary</t>
  </si>
  <si>
    <t>Transformer current primary</t>
  </si>
  <si>
    <t>Losses in cables</t>
  </si>
  <si>
    <t>% losses</t>
  </si>
  <si>
    <t>Case 1</t>
  </si>
  <si>
    <t>Y</t>
  </si>
  <si>
    <t>X</t>
  </si>
  <si>
    <t>Component</t>
  </si>
  <si>
    <t>Inv1</t>
  </si>
  <si>
    <t>Transf</t>
  </si>
  <si>
    <t>Meter</t>
  </si>
  <si>
    <t>Array configuration, cable +</t>
  </si>
  <si>
    <t>Array configuration, cable -</t>
  </si>
  <si>
    <t>m</t>
  </si>
  <si>
    <t>Inv array</t>
  </si>
  <si>
    <t>Distance + to inv</t>
  </si>
  <si>
    <t>Distance - to inv</t>
  </si>
  <si>
    <t>Medium distance + to inv</t>
  </si>
  <si>
    <t>Medium distance - to inv</t>
  </si>
  <si>
    <t>Losses CC cable</t>
  </si>
  <si>
    <t>% CC losses</t>
  </si>
  <si>
    <t>Medium distance panel to inv</t>
  </si>
  <si>
    <t>Distance inv to transformer</t>
  </si>
  <si>
    <t>Losses CA cable</t>
  </si>
  <si>
    <t>% CA losses</t>
  </si>
  <si>
    <t>Distance transformer to meter</t>
  </si>
  <si>
    <t>Losses MT cable</t>
  </si>
  <si>
    <t>% MT losses</t>
  </si>
  <si>
    <t>Way</t>
  </si>
  <si>
    <t>Pànel to Inv</t>
  </si>
  <si>
    <t>Inv to Transf.</t>
  </si>
  <si>
    <t>Transf to Meter</t>
  </si>
  <si>
    <t>CC</t>
  </si>
  <si>
    <t>CA</t>
  </si>
  <si>
    <t>MT</t>
  </si>
  <si>
    <t>Total</t>
  </si>
  <si>
    <t>Losses (kW)</t>
  </si>
  <si>
    <t>Limits X and Y</t>
  </si>
  <si>
    <t>Min</t>
  </si>
  <si>
    <t>Max</t>
  </si>
  <si>
    <t>After apply AG necessary to set espaces between inverters and transformer</t>
  </si>
  <si>
    <t>Nº String</t>
  </si>
  <si>
    <t>Performace Solar</t>
  </si>
  <si>
    <t>HSP</t>
  </si>
  <si>
    <t>h</t>
  </si>
  <si>
    <t>Energy Cost</t>
  </si>
  <si>
    <t>System configuration</t>
  </si>
  <si>
    <t>R$/kWh</t>
  </si>
  <si>
    <t>Cable investiment</t>
  </si>
  <si>
    <t>Loss Energy</t>
  </si>
  <si>
    <t>Perfomance invest</t>
  </si>
  <si>
    <t>Net Liquid Value</t>
  </si>
  <si>
    <t>Total (R$)</t>
  </si>
  <si>
    <t>Anual energy reajust</t>
  </si>
  <si>
    <t>Year</t>
  </si>
  <si>
    <t>Loss (kW)</t>
  </si>
  <si>
    <t>Energy Loss (kWh/year)</t>
  </si>
  <si>
    <t>Energy Cost (R$)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</si>
</sst>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000"/>
    <numFmt numFmtId="165" formatCode="0.0"/>
    <numFmt numFmtId="166" formatCode="0.000"/>
    <numFmt numFmtId="167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0" xfId="0" applyNumberFormat="1"/>
    <xf numFmtId="2" fontId="0" fillId="0" borderId="4" xfId="0" applyNumberFormat="1" applyBorder="1"/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9" xfId="0" applyBorder="1"/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3" fillId="0" borderId="2" xfId="0" applyFont="1" applyBorder="1" applyAlignment="1">
      <alignment horizontal="center" vertical="center" wrapText="1"/>
    </xf>
    <xf numFmtId="165" fontId="0" fillId="0" borderId="0" xfId="0" applyNumberFormat="1"/>
    <xf numFmtId="165" fontId="0" fillId="0" borderId="2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0" fontId="0" fillId="0" borderId="0" xfId="1" applyNumberFormat="1" applyFont="1" applyBorder="1"/>
    <xf numFmtId="1" fontId="0" fillId="0" borderId="0" xfId="0" applyNumberFormat="1"/>
    <xf numFmtId="164" fontId="0" fillId="0" borderId="0" xfId="0" applyNumberFormat="1"/>
    <xf numFmtId="10" fontId="0" fillId="0" borderId="4" xfId="1" applyNumberFormat="1" applyFont="1" applyBorder="1"/>
    <xf numFmtId="10" fontId="0" fillId="0" borderId="2" xfId="0" applyNumberFormat="1" applyBorder="1"/>
    <xf numFmtId="164" fontId="0" fillId="0" borderId="4" xfId="0" applyNumberFormat="1" applyBorder="1"/>
    <xf numFmtId="10" fontId="0" fillId="0" borderId="5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0" xfId="0" applyFill="1" applyAlignment="1">
      <alignment vertical="center" wrapText="1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167" fontId="0" fillId="0" borderId="4" xfId="0" applyNumberFormat="1" applyBorder="1"/>
    <xf numFmtId="0" fontId="0" fillId="0" borderId="0" xfId="0" applyBorder="1" applyAlignment="1">
      <alignment horizontal="center"/>
    </xf>
    <xf numFmtId="44" fontId="0" fillId="0" borderId="0" xfId="2" applyFont="1" applyBorder="1"/>
    <xf numFmtId="0" fontId="0" fillId="0" borderId="6" xfId="0" applyBorder="1"/>
    <xf numFmtId="0" fontId="0" fillId="0" borderId="7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3" fillId="0" borderId="0" xfId="0" applyFont="1" applyBorder="1" applyAlignment="1">
      <alignment horizontal="center" vertical="center" wrapText="1"/>
    </xf>
    <xf numFmtId="165" fontId="0" fillId="0" borderId="0" xfId="0" applyNumberFormat="1" applyBorder="1"/>
    <xf numFmtId="0" fontId="4" fillId="0" borderId="7" xfId="0" applyFont="1" applyBorder="1" applyAlignment="1">
      <alignment horizontal="center" wrapText="1"/>
    </xf>
    <xf numFmtId="2" fontId="0" fillId="0" borderId="0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0" fillId="0" borderId="0" xfId="0" applyNumberFormat="1" applyBorder="1"/>
    <xf numFmtId="9" fontId="0" fillId="0" borderId="0" xfId="0" applyNumberFormat="1" applyBorder="1"/>
    <xf numFmtId="8" fontId="0" fillId="0" borderId="4" xfId="0" applyNumberFormat="1" applyBorder="1"/>
  </cellXfs>
  <cellStyles count="3">
    <cellStyle name="Moeda" xfId="2" builtinId="4"/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Usina Solar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774296288323207E-2"/>
          <c:y val="5.0053968111574178E-2"/>
          <c:w val="0.89540524203808214"/>
          <c:h val="0.80246704624397003"/>
        </c:manualLayout>
      </c:layout>
      <c:scatterChart>
        <c:scatterStyle val="lineMarker"/>
        <c:varyColors val="0"/>
        <c:ser>
          <c:idx val="5"/>
          <c:order val="0"/>
          <c:tx>
            <c:v>Inv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1'!$C$26:$G$26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'CASE 1'!$C$27:$G$27</c:f>
              <c:numCache>
                <c:formatCode>General</c:formatCode>
                <c:ptCount val="5"/>
                <c:pt idx="0">
                  <c:v>19.5</c:v>
                </c:pt>
                <c:pt idx="1">
                  <c:v>19.5</c:v>
                </c:pt>
                <c:pt idx="2">
                  <c:v>19.5</c:v>
                </c:pt>
                <c:pt idx="3">
                  <c:v>19.5</c:v>
                </c:pt>
                <c:pt idx="4">
                  <c:v>19.5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1-4EF7-A732-4FC0CC85093C}"/>
            </c:ext>
          </c:extLst>
        </c:ser>
        <c:ser>
          <c:idx val="6"/>
          <c:order val="1"/>
          <c:tx>
            <c:v>Transf.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1'!$C$29</c:f>
              <c:numCache>
                <c:formatCode>General</c:formatCode>
                <c:ptCount val="1"/>
                <c:pt idx="0">
                  <c:v>30</c:v>
                </c:pt>
              </c:numCache>
            </c:numRef>
          </c:xVal>
          <c:yVal>
            <c:numRef>
              <c:f>'CASE 1'!$C$30</c:f>
              <c:numCache>
                <c:formatCode>General</c:formatCode>
                <c:ptCount val="1"/>
                <c:pt idx="0">
                  <c:v>8.3000000000000007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1-4EF7-A732-4FC0CC85093C}"/>
            </c:ext>
          </c:extLst>
        </c:ser>
        <c:ser>
          <c:idx val="7"/>
          <c:order val="2"/>
          <c:tx>
            <c:v>Meter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1'!$D$29</c:f>
              <c:numCache>
                <c:formatCode>General</c:formatCode>
                <c:ptCount val="1"/>
                <c:pt idx="0">
                  <c:v>37</c:v>
                </c:pt>
              </c:numCache>
            </c:numRef>
          </c:xVal>
          <c:yVal>
            <c:numRef>
              <c:f>'CASE 1'!$D$30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81-4EF7-A732-4FC0CC85093C}"/>
            </c:ext>
          </c:extLst>
        </c:ser>
        <c:ser>
          <c:idx val="8"/>
          <c:order val="3"/>
          <c:tx>
            <c:v>Panel +</c:v>
          </c:tx>
          <c:spPr>
            <a:ln w="19050">
              <a:noFill/>
            </a:ln>
          </c:spPr>
          <c:marker>
            <c:spPr>
              <a:ln w="53975"/>
            </c:spPr>
          </c:marker>
          <c:dPt>
            <c:idx val="6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53975" cap="rnd">
                  <a:solidFill>
                    <a:schemeClr val="accent3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BAB-444D-97B8-5BF0863654DC}"/>
              </c:ext>
            </c:extLst>
          </c:dPt>
          <c:xVal>
            <c:numRef>
              <c:f>'CASE 1'!$B$33:$B$50</c:f>
              <c:numCache>
                <c:formatCode>General</c:formatCode>
                <c:ptCount val="18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</c:numCache>
            </c:numRef>
          </c:xVal>
          <c:yVal>
            <c:numRef>
              <c:f>'CASE 1'!$C$33:$C$50</c:f>
              <c:numCache>
                <c:formatCode>General</c:formatCode>
                <c:ptCount val="18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81-4EF7-A732-4FC0CC85093C}"/>
            </c:ext>
          </c:extLst>
        </c:ser>
        <c:ser>
          <c:idx val="9"/>
          <c:order val="4"/>
          <c:tx>
            <c:v>Panel -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'CASE 1'!$D$33:$D$50</c:f>
              <c:numCache>
                <c:formatCode>General</c:formatCode>
                <c:ptCount val="18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</c:numCache>
            </c:numRef>
          </c:xVal>
          <c:yVal>
            <c:numRef>
              <c:f>'CASE 1'!$E$33:$E$50</c:f>
              <c:numCache>
                <c:formatCode>General</c:formatCode>
                <c:ptCount val="18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81-4EF7-A732-4FC0CC850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69855"/>
        <c:axId val="117173215"/>
      </c:scatterChart>
      <c:valAx>
        <c:axId val="117169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73215"/>
        <c:crosses val="autoZero"/>
        <c:crossBetween val="midCat"/>
      </c:valAx>
      <c:valAx>
        <c:axId val="117173215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69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Posição Usina Solar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774296288323207E-2"/>
          <c:y val="5.0053968111574178E-2"/>
          <c:w val="0.89540524203808214"/>
          <c:h val="0.80246704624397003"/>
        </c:manualLayout>
      </c:layout>
      <c:scatterChart>
        <c:scatterStyle val="lineMarker"/>
        <c:varyColors val="0"/>
        <c:ser>
          <c:idx val="5"/>
          <c:order val="0"/>
          <c:tx>
            <c:v>Inv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'!$C$26:$G$26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'AG CASE '!$C$27:$G$27</c:f>
              <c:numCache>
                <c:formatCode>General</c:formatCode>
                <c:ptCount val="5"/>
                <c:pt idx="0">
                  <c:v>183</c:v>
                </c:pt>
                <c:pt idx="1">
                  <c:v>183</c:v>
                </c:pt>
                <c:pt idx="2">
                  <c:v>183</c:v>
                </c:pt>
                <c:pt idx="3">
                  <c:v>183</c:v>
                </c:pt>
                <c:pt idx="4">
                  <c:v>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53-4B80-8E58-25DBE643F86B}"/>
            </c:ext>
          </c:extLst>
        </c:ser>
        <c:ser>
          <c:idx val="6"/>
          <c:order val="1"/>
          <c:tx>
            <c:v>Transf.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'!$C$29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'AG CASE '!$C$30</c:f>
              <c:numCache>
                <c:formatCode>General</c:formatCode>
                <c:ptCount val="1"/>
                <c:pt idx="0">
                  <c:v>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53-4B80-8E58-25DBE643F86B}"/>
            </c:ext>
          </c:extLst>
        </c:ser>
        <c:ser>
          <c:idx val="8"/>
          <c:order val="2"/>
          <c:tx>
            <c:v>Panel +</c:v>
          </c:tx>
          <c:spPr>
            <a:ln w="19050">
              <a:noFill/>
            </a:ln>
          </c:spPr>
          <c:marker>
            <c:spPr>
              <a:ln w="53975"/>
            </c:spPr>
          </c:marker>
          <c:dPt>
            <c:idx val="6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53975" cap="rnd">
                  <a:solidFill>
                    <a:schemeClr val="accent3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453-4B80-8E58-25DBE643F86B}"/>
              </c:ext>
            </c:extLst>
          </c:dPt>
          <c:xVal>
            <c:numRef>
              <c:f>'AG CASE '!$B$33:$B$50</c:f>
              <c:numCache>
                <c:formatCode>General</c:formatCode>
                <c:ptCount val="18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</c:numCache>
            </c:numRef>
          </c:xVal>
          <c:yVal>
            <c:numRef>
              <c:f>'AG CASE '!$C$33:$C$50</c:f>
              <c:numCache>
                <c:formatCode>General</c:formatCode>
                <c:ptCount val="18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53-4B80-8E58-25DBE643F86B}"/>
            </c:ext>
          </c:extLst>
        </c:ser>
        <c:ser>
          <c:idx val="9"/>
          <c:order val="3"/>
          <c:tx>
            <c:v>Panel -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'!$D$33:$D$50</c:f>
              <c:numCache>
                <c:formatCode>General</c:formatCode>
                <c:ptCount val="18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</c:numCache>
            </c:numRef>
          </c:xVal>
          <c:yVal>
            <c:numRef>
              <c:f>'AG CASE '!$E$33:$E$50</c:f>
              <c:numCache>
                <c:formatCode>General</c:formatCode>
                <c:ptCount val="18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53-4B80-8E58-25DBE643F86B}"/>
            </c:ext>
          </c:extLst>
        </c:ser>
        <c:ser>
          <c:idx val="0"/>
          <c:order val="4"/>
          <c:tx>
            <c:v>Meter</c:v>
          </c:tx>
          <c:spPr>
            <a:ln w="19050">
              <a:noFill/>
            </a:ln>
          </c:spPr>
          <c:marker>
            <c:spPr>
              <a:ln w="53975"/>
            </c:spPr>
          </c:marker>
          <c:xVal>
            <c:numRef>
              <c:f>'AG CASE '!$D$29</c:f>
              <c:numCache>
                <c:formatCode>General</c:formatCode>
                <c:ptCount val="1"/>
                <c:pt idx="0">
                  <c:v>37</c:v>
                </c:pt>
              </c:numCache>
            </c:numRef>
          </c:xVal>
          <c:yVal>
            <c:numRef>
              <c:f>'AG CASE '!$D$30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88-4BDC-8BD2-8F64121EF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69855"/>
        <c:axId val="117173215"/>
      </c:scatterChart>
      <c:valAx>
        <c:axId val="117169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X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73215"/>
        <c:crosses val="autoZero"/>
        <c:crossBetween val="midCat"/>
      </c:valAx>
      <c:valAx>
        <c:axId val="117173215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Eixo Y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69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603249</xdr:colOff>
      <xdr:row>18</xdr:row>
      <xdr:rowOff>0</xdr:rowOff>
    </xdr:from>
    <xdr:to>
      <xdr:col>25</xdr:col>
      <xdr:colOff>142874</xdr:colOff>
      <xdr:row>55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3FDF4D-BF2E-4140-BC90-D7BCB788D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603249</xdr:colOff>
      <xdr:row>18</xdr:row>
      <xdr:rowOff>0</xdr:rowOff>
    </xdr:from>
    <xdr:to>
      <xdr:col>25</xdr:col>
      <xdr:colOff>142874</xdr:colOff>
      <xdr:row>55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8237515-8638-4AD8-89BF-5505D3B19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59531</xdr:colOff>
      <xdr:row>17</xdr:row>
      <xdr:rowOff>95250</xdr:rowOff>
    </xdr:from>
    <xdr:to>
      <xdr:col>11</xdr:col>
      <xdr:colOff>11906</xdr:colOff>
      <xdr:row>20</xdr:row>
      <xdr:rowOff>23813</xdr:rowOff>
    </xdr:to>
    <xdr:sp macro="[0]!Solver1" textlink="">
      <xdr:nvSpPr>
        <xdr:cNvPr id="3" name="Retângulo 2">
          <a:extLst>
            <a:ext uri="{FF2B5EF4-FFF2-40B4-BE49-F238E27FC236}">
              <a16:creationId xmlns:a16="http://schemas.microsoft.com/office/drawing/2014/main" id="{C58E98C2-557D-468F-617F-E278C3996757}"/>
            </a:ext>
          </a:extLst>
        </xdr:cNvPr>
        <xdr:cNvSpPr/>
      </xdr:nvSpPr>
      <xdr:spPr>
        <a:xfrm>
          <a:off x="7953375" y="3440906"/>
          <a:ext cx="2143125" cy="50006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/>
            <a:t>APPLY</a:t>
          </a:r>
          <a:r>
            <a:rPr lang="pt-BR" sz="2400" baseline="0"/>
            <a:t> AG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E295-A4F5-41F3-B17F-861BD2D54148}">
  <sheetPr codeName="Planilha1"/>
  <dimension ref="A1:T122"/>
  <sheetViews>
    <sheetView tabSelected="1" zoomScale="60" zoomScaleNormal="60" workbookViewId="0">
      <selection activeCell="H20" sqref="H20"/>
    </sheetView>
  </sheetViews>
  <sheetFormatPr defaultRowHeight="15" x14ac:dyDescent="0.25"/>
  <cols>
    <col min="2" max="2" width="30.85546875" customWidth="1"/>
    <col min="3" max="3" width="14" customWidth="1"/>
    <col min="5" max="5" width="19.7109375" customWidth="1"/>
    <col min="6" max="6" width="13" bestFit="1" customWidth="1"/>
    <col min="8" max="8" width="13.5703125" customWidth="1"/>
    <col min="9" max="9" width="11.28515625" customWidth="1"/>
    <col min="10" max="10" width="12.42578125" customWidth="1"/>
    <col min="13" max="13" width="16.28515625" bestFit="1" customWidth="1"/>
    <col min="14" max="14" width="14.28515625" customWidth="1"/>
    <col min="19" max="19" width="16.85546875" bestFit="1" customWidth="1"/>
  </cols>
  <sheetData>
    <row r="1" spans="2:20" ht="15.75" thickBot="1" x14ac:dyDescent="0.3"/>
    <row r="2" spans="2:20" x14ac:dyDescent="0.25">
      <c r="B2" s="49" t="s">
        <v>0</v>
      </c>
      <c r="C2" s="50"/>
      <c r="D2" s="51"/>
      <c r="F2" s="49" t="s">
        <v>12</v>
      </c>
      <c r="G2" s="50"/>
      <c r="H2" s="50"/>
      <c r="I2" s="50"/>
      <c r="J2" s="51"/>
      <c r="L2" s="54" t="s">
        <v>23</v>
      </c>
      <c r="M2" s="55"/>
      <c r="N2" s="55"/>
      <c r="O2" s="56"/>
      <c r="Q2" s="54" t="s">
        <v>80</v>
      </c>
      <c r="R2" s="55"/>
      <c r="S2" s="55"/>
      <c r="T2" s="56"/>
    </row>
    <row r="3" spans="2:20" x14ac:dyDescent="0.25">
      <c r="B3" s="11" t="s">
        <v>1</v>
      </c>
      <c r="C3" s="12" t="s">
        <v>8</v>
      </c>
      <c r="D3" s="13"/>
      <c r="F3" s="52" t="s">
        <v>13</v>
      </c>
      <c r="G3" s="53"/>
      <c r="H3" s="53"/>
      <c r="I3" s="12">
        <v>270</v>
      </c>
      <c r="J3" s="13"/>
      <c r="L3" s="45" t="s">
        <v>24</v>
      </c>
      <c r="M3" s="46"/>
      <c r="N3">
        <v>6</v>
      </c>
      <c r="O3" s="2" t="s">
        <v>26</v>
      </c>
      <c r="Q3" s="45" t="s">
        <v>76</v>
      </c>
      <c r="R3" s="60"/>
      <c r="S3" s="59">
        <v>0.8</v>
      </c>
      <c r="T3" s="2"/>
    </row>
    <row r="4" spans="2:20" x14ac:dyDescent="0.25">
      <c r="B4" s="11" t="s">
        <v>2</v>
      </c>
      <c r="C4" s="12">
        <v>550</v>
      </c>
      <c r="D4" s="13" t="s">
        <v>5</v>
      </c>
      <c r="F4" s="52" t="s">
        <v>14</v>
      </c>
      <c r="G4" s="53"/>
      <c r="H4" s="53"/>
      <c r="I4" s="12">
        <f>I3*C4/1000</f>
        <v>148.5</v>
      </c>
      <c r="J4" s="13" t="s">
        <v>18</v>
      </c>
      <c r="L4" s="45" t="s">
        <v>25</v>
      </c>
      <c r="M4" s="46"/>
      <c r="N4">
        <v>3.3999999999999998E-3</v>
      </c>
      <c r="O4" s="2" t="s">
        <v>31</v>
      </c>
      <c r="Q4" s="45" t="s">
        <v>77</v>
      </c>
      <c r="R4" s="60"/>
      <c r="S4" s="59">
        <v>5</v>
      </c>
      <c r="T4" s="2" t="s">
        <v>78</v>
      </c>
    </row>
    <row r="5" spans="2:20" x14ac:dyDescent="0.25">
      <c r="B5" s="11" t="s">
        <v>3</v>
      </c>
      <c r="C5" s="12">
        <v>39.65</v>
      </c>
      <c r="D5" s="13" t="s">
        <v>6</v>
      </c>
      <c r="F5" s="52" t="s">
        <v>15</v>
      </c>
      <c r="G5" s="53"/>
      <c r="H5" s="53"/>
      <c r="I5" s="12">
        <v>1</v>
      </c>
      <c r="J5" s="13"/>
      <c r="L5" s="1" t="s">
        <v>27</v>
      </c>
      <c r="N5">
        <v>150</v>
      </c>
      <c r="O5" s="2" t="s">
        <v>26</v>
      </c>
      <c r="Q5" s="45" t="s">
        <v>87</v>
      </c>
      <c r="R5" s="60"/>
      <c r="S5" s="81">
        <v>0.08</v>
      </c>
      <c r="T5" s="2"/>
    </row>
    <row r="6" spans="2:20" ht="15.75" thickBot="1" x14ac:dyDescent="0.3">
      <c r="B6" s="14" t="s">
        <v>4</v>
      </c>
      <c r="C6" s="15">
        <v>10.51</v>
      </c>
      <c r="D6" s="16" t="s">
        <v>7</v>
      </c>
      <c r="F6" s="52" t="s">
        <v>16</v>
      </c>
      <c r="G6" s="53"/>
      <c r="H6" s="53"/>
      <c r="I6" s="12">
        <f>I5*C10</f>
        <v>120</v>
      </c>
      <c r="J6" s="13" t="s">
        <v>18</v>
      </c>
      <c r="L6" s="45" t="s">
        <v>28</v>
      </c>
      <c r="M6" s="46"/>
      <c r="N6">
        <v>1.7000000000000001E-4</v>
      </c>
      <c r="O6" s="2" t="s">
        <v>31</v>
      </c>
      <c r="Q6" s="3" t="s">
        <v>79</v>
      </c>
      <c r="R6" s="4"/>
      <c r="S6" s="61">
        <v>1.2</v>
      </c>
      <c r="T6" s="5" t="s">
        <v>81</v>
      </c>
    </row>
    <row r="7" spans="2:20" ht="15.75" thickBot="1" x14ac:dyDescent="0.3">
      <c r="F7" s="52" t="s">
        <v>19</v>
      </c>
      <c r="G7" s="53"/>
      <c r="H7" s="53"/>
      <c r="I7" s="12">
        <v>18</v>
      </c>
      <c r="J7" s="13"/>
      <c r="L7" s="1" t="s">
        <v>29</v>
      </c>
      <c r="N7">
        <v>16</v>
      </c>
      <c r="O7" s="2" t="s">
        <v>26</v>
      </c>
      <c r="Q7" s="77" t="s">
        <v>82</v>
      </c>
      <c r="R7" s="78"/>
      <c r="S7" s="78"/>
      <c r="T7" s="79"/>
    </row>
    <row r="8" spans="2:20" ht="15.75" thickBot="1" x14ac:dyDescent="0.3">
      <c r="B8" s="49" t="s">
        <v>9</v>
      </c>
      <c r="C8" s="50"/>
      <c r="D8" s="51"/>
      <c r="F8" s="52" t="s">
        <v>20</v>
      </c>
      <c r="G8" s="53"/>
      <c r="H8" s="53"/>
      <c r="I8" s="12">
        <v>15</v>
      </c>
      <c r="J8" s="13"/>
      <c r="L8" s="47" t="s">
        <v>30</v>
      </c>
      <c r="M8" s="48"/>
      <c r="N8" s="4">
        <v>1.5E-3</v>
      </c>
      <c r="O8" s="5" t="s">
        <v>31</v>
      </c>
      <c r="Q8" s="45" t="s">
        <v>24</v>
      </c>
      <c r="R8" s="60"/>
      <c r="S8" s="63">
        <f>C21*2*I7*5.5</f>
        <v>32498.994564391443</v>
      </c>
      <c r="T8" s="2"/>
    </row>
    <row r="9" spans="2:20" ht="15.75" thickBot="1" x14ac:dyDescent="0.3">
      <c r="B9" s="11" t="s">
        <v>1</v>
      </c>
      <c r="C9" s="12" t="s">
        <v>17</v>
      </c>
      <c r="D9" s="13"/>
      <c r="F9" s="52" t="s">
        <v>21</v>
      </c>
      <c r="G9" s="53"/>
      <c r="H9" s="53"/>
      <c r="I9" s="12">
        <v>10.51</v>
      </c>
      <c r="J9" s="13" t="s">
        <v>7</v>
      </c>
      <c r="Q9" s="1" t="s">
        <v>27</v>
      </c>
      <c r="R9" s="59"/>
      <c r="S9" s="63">
        <f>C22*3*172.6</f>
        <v>5799.3599999999988</v>
      </c>
      <c r="T9" s="2"/>
    </row>
    <row r="10" spans="2:20" x14ac:dyDescent="0.25">
      <c r="B10" s="11" t="s">
        <v>2</v>
      </c>
      <c r="C10" s="12">
        <v>120</v>
      </c>
      <c r="D10" s="13" t="s">
        <v>18</v>
      </c>
      <c r="F10" s="52" t="s">
        <v>22</v>
      </c>
      <c r="G10" s="53"/>
      <c r="H10" s="53"/>
      <c r="I10" s="12">
        <f>C5*I8</f>
        <v>594.75</v>
      </c>
      <c r="J10" s="13" t="s">
        <v>6</v>
      </c>
      <c r="L10" s="54" t="s">
        <v>36</v>
      </c>
      <c r="M10" s="55"/>
      <c r="N10" s="55"/>
      <c r="O10" s="56"/>
      <c r="Q10" s="1" t="s">
        <v>29</v>
      </c>
      <c r="R10" s="59"/>
      <c r="S10" s="63">
        <f>3*C23*236</f>
        <v>6216.3045099158389</v>
      </c>
      <c r="T10" s="2"/>
    </row>
    <row r="11" spans="2:20" x14ac:dyDescent="0.25">
      <c r="B11" s="11" t="s">
        <v>10</v>
      </c>
      <c r="C11" s="12">
        <v>191.3</v>
      </c>
      <c r="D11" s="13" t="s">
        <v>7</v>
      </c>
      <c r="F11" s="52" t="s">
        <v>32</v>
      </c>
      <c r="G11" s="53"/>
      <c r="H11" s="53"/>
      <c r="I11" s="12">
        <v>15000</v>
      </c>
      <c r="J11" s="13" t="s">
        <v>6</v>
      </c>
      <c r="L11" s="1"/>
      <c r="M11" t="s">
        <v>62</v>
      </c>
      <c r="N11" t="s">
        <v>70</v>
      </c>
      <c r="O11" s="2" t="s">
        <v>37</v>
      </c>
      <c r="Q11" s="45" t="s">
        <v>69</v>
      </c>
      <c r="R11" s="60"/>
      <c r="S11" s="80">
        <f>S8+S9+S10</f>
        <v>44514.659074307281</v>
      </c>
      <c r="T11" s="2"/>
    </row>
    <row r="12" spans="2:20" ht="15.75" thickBot="1" x14ac:dyDescent="0.3">
      <c r="B12" s="14" t="s">
        <v>11</v>
      </c>
      <c r="C12" s="15">
        <v>380</v>
      </c>
      <c r="D12" s="16" t="s">
        <v>6</v>
      </c>
      <c r="F12" s="52" t="s">
        <v>33</v>
      </c>
      <c r="G12" s="53"/>
      <c r="H12" s="53"/>
      <c r="I12" s="12">
        <v>380</v>
      </c>
      <c r="J12" s="13" t="s">
        <v>6</v>
      </c>
      <c r="L12" s="1" t="s">
        <v>66</v>
      </c>
      <c r="M12" t="s">
        <v>63</v>
      </c>
      <c r="N12" s="20">
        <f>F19</f>
        <v>1.3315051030079192</v>
      </c>
      <c r="O12" s="40">
        <f>F20</f>
        <v>8.9663643300196584E-3</v>
      </c>
      <c r="Q12" s="1" t="s">
        <v>83</v>
      </c>
      <c r="R12" s="59"/>
      <c r="S12" s="63">
        <f>SUM(E53:E78)</f>
        <v>203116.19624441999</v>
      </c>
      <c r="T12" s="2"/>
    </row>
    <row r="13" spans="2:20" x14ac:dyDescent="0.25">
      <c r="F13" s="1" t="s">
        <v>34</v>
      </c>
      <c r="I13">
        <f>C11*I5</f>
        <v>191.3</v>
      </c>
      <c r="J13" s="13" t="s">
        <v>7</v>
      </c>
      <c r="L13" s="1" t="s">
        <v>67</v>
      </c>
      <c r="M13" t="s">
        <v>64</v>
      </c>
      <c r="N13" s="32">
        <f>F21</f>
        <v>0.12542074876800002</v>
      </c>
      <c r="O13" s="40">
        <f>F22</f>
        <v>8.4458416678787898E-4</v>
      </c>
      <c r="Q13" s="1" t="s">
        <v>84</v>
      </c>
      <c r="R13" s="59"/>
      <c r="S13" s="81">
        <v>0.04</v>
      </c>
      <c r="T13" s="2"/>
    </row>
    <row r="14" spans="2:20" ht="15.75" thickBot="1" x14ac:dyDescent="0.3">
      <c r="F14" s="47" t="s">
        <v>35</v>
      </c>
      <c r="G14" s="48"/>
      <c r="H14" s="48"/>
      <c r="I14" s="21">
        <f>I13*I12/I11</f>
        <v>4.8462666666666667</v>
      </c>
      <c r="J14" s="16" t="s">
        <v>7</v>
      </c>
      <c r="L14" s="1" t="s">
        <v>68</v>
      </c>
      <c r="M14" t="s">
        <v>65</v>
      </c>
      <c r="N14" s="38">
        <f>F23</f>
        <v>5.5677202004992545E-4</v>
      </c>
      <c r="O14" s="40">
        <f>F24</f>
        <v>3.7493065323227304E-6</v>
      </c>
      <c r="Q14" s="47" t="s">
        <v>85</v>
      </c>
      <c r="R14" s="48"/>
      <c r="S14" s="82">
        <f>NPV(S13,S11,E53:E78)</f>
        <v>144649.69451813953</v>
      </c>
      <c r="T14" s="5"/>
    </row>
    <row r="15" spans="2:20" ht="15.75" thickBot="1" x14ac:dyDescent="0.3">
      <c r="F15" s="46"/>
      <c r="G15" s="46"/>
      <c r="H15" s="46"/>
      <c r="L15" s="3"/>
      <c r="M15" s="4" t="s">
        <v>69</v>
      </c>
      <c r="N15" s="41">
        <f>N12+N13+N14</f>
        <v>1.457482623795969</v>
      </c>
      <c r="O15" s="42">
        <f>O12+O13+O14</f>
        <v>9.8146978033398606E-3</v>
      </c>
    </row>
    <row r="17" spans="2:10" ht="15.75" thickBot="1" x14ac:dyDescent="0.3"/>
    <row r="18" spans="2:10" x14ac:dyDescent="0.25">
      <c r="B18" s="54" t="s">
        <v>38</v>
      </c>
      <c r="C18" s="55"/>
      <c r="D18" s="55"/>
      <c r="E18" s="55"/>
      <c r="F18" s="55"/>
      <c r="G18" s="56"/>
    </row>
    <row r="19" spans="2:10" x14ac:dyDescent="0.25">
      <c r="B19" s="1" t="s">
        <v>51</v>
      </c>
      <c r="C19" s="32">
        <f>AVERAGE(I33:I122)</f>
        <v>164.72355169934042</v>
      </c>
      <c r="D19" t="s">
        <v>47</v>
      </c>
      <c r="E19" t="s">
        <v>53</v>
      </c>
      <c r="F19" s="20">
        <f>C21*2*N4*I7*I9^2*0.6/1000</f>
        <v>1.3315051030079192</v>
      </c>
      <c r="G19" s="2" t="s">
        <v>18</v>
      </c>
    </row>
    <row r="20" spans="2:10" x14ac:dyDescent="0.25">
      <c r="B20" s="1" t="s">
        <v>52</v>
      </c>
      <c r="C20" s="32">
        <f>AVERAGE(J33:J122)</f>
        <v>163.54912066824988</v>
      </c>
      <c r="D20" t="s">
        <v>47</v>
      </c>
      <c r="E20" t="s">
        <v>54</v>
      </c>
      <c r="F20" s="36">
        <f>F19/I4</f>
        <v>8.9663643300196584E-3</v>
      </c>
      <c r="G20" s="2"/>
    </row>
    <row r="21" spans="2:10" x14ac:dyDescent="0.25">
      <c r="B21" s="1" t="s">
        <v>55</v>
      </c>
      <c r="C21" s="32">
        <f>AVERAGE(C19:C20)</f>
        <v>164.13633618379515</v>
      </c>
      <c r="D21" t="s">
        <v>47</v>
      </c>
      <c r="E21" t="s">
        <v>57</v>
      </c>
      <c r="F21" s="32">
        <f>3*N6*C11^2*C22*0.6*I5/1000</f>
        <v>0.12542074876800002</v>
      </c>
      <c r="G21" s="2" t="s">
        <v>18</v>
      </c>
    </row>
    <row r="22" spans="2:10" x14ac:dyDescent="0.25">
      <c r="B22" s="1" t="s">
        <v>56</v>
      </c>
      <c r="C22" s="32">
        <f>AVERAGE(SQRT((C26-C29)^2+(C27-C30)^2),SQRT((D26-C29)^2+(D27-C30)^2),SQRT((E26-C29)^2+(E27-C30)^2),SQRT((F26-C29)^2+(F27-C30)^2),SQRT((G26-C29)^2+(G27-C30)^2))</f>
        <v>11.2</v>
      </c>
      <c r="E22" t="s">
        <v>58</v>
      </c>
      <c r="F22" s="36">
        <f>F21/I4</f>
        <v>8.4458416678787898E-4</v>
      </c>
      <c r="G22" s="2"/>
    </row>
    <row r="23" spans="2:10" x14ac:dyDescent="0.25">
      <c r="B23" s="1" t="s">
        <v>59</v>
      </c>
      <c r="C23" s="37">
        <f>SQRT((C29-D29)^2+(C30-D30)^2)</f>
        <v>8.780091115700337</v>
      </c>
      <c r="D23" t="s">
        <v>47</v>
      </c>
      <c r="E23" t="s">
        <v>60</v>
      </c>
      <c r="F23" s="38">
        <f>3*N8*I14^2*C23*0.6/1000</f>
        <v>5.5677202004992545E-4</v>
      </c>
      <c r="G23" s="2" t="s">
        <v>18</v>
      </c>
    </row>
    <row r="24" spans="2:10" ht="15.75" thickBot="1" x14ac:dyDescent="0.3">
      <c r="B24" s="3"/>
      <c r="C24" s="4"/>
      <c r="D24" s="4"/>
      <c r="E24" s="4" t="s">
        <v>61</v>
      </c>
      <c r="F24" s="39">
        <f>F23/I4</f>
        <v>3.7493065323227304E-6</v>
      </c>
      <c r="G24" s="5"/>
    </row>
    <row r="25" spans="2:10" x14ac:dyDescent="0.25">
      <c r="B25" s="6" t="s">
        <v>41</v>
      </c>
      <c r="C25" s="7" t="s">
        <v>42</v>
      </c>
      <c r="D25" s="7" t="s">
        <v>42</v>
      </c>
      <c r="E25" s="7" t="s">
        <v>42</v>
      </c>
      <c r="F25" s="7" t="s">
        <v>42</v>
      </c>
      <c r="G25" s="8" t="s">
        <v>42</v>
      </c>
    </row>
    <row r="26" spans="2:10" x14ac:dyDescent="0.25">
      <c r="B26" s="17" t="s">
        <v>40</v>
      </c>
      <c r="C26" s="58">
        <v>30</v>
      </c>
      <c r="D26" s="58">
        <v>30</v>
      </c>
      <c r="E26" s="58">
        <v>30</v>
      </c>
      <c r="F26" s="58">
        <v>30</v>
      </c>
      <c r="G26" s="24">
        <v>30</v>
      </c>
    </row>
    <row r="27" spans="2:10" ht="15.75" thickBot="1" x14ac:dyDescent="0.3">
      <c r="B27" s="18" t="s">
        <v>39</v>
      </c>
      <c r="C27" s="22">
        <v>19.5</v>
      </c>
      <c r="D27" s="22">
        <v>19.5</v>
      </c>
      <c r="E27" s="22">
        <v>19.5</v>
      </c>
      <c r="F27" s="22">
        <v>19.5</v>
      </c>
      <c r="G27" s="25">
        <v>19.5</v>
      </c>
    </row>
    <row r="28" spans="2:10" x14ac:dyDescent="0.25">
      <c r="B28" s="26" t="s">
        <v>41</v>
      </c>
      <c r="C28" s="29" t="s">
        <v>43</v>
      </c>
      <c r="D28" s="30" t="s">
        <v>44</v>
      </c>
    </row>
    <row r="29" spans="2:10" x14ac:dyDescent="0.25">
      <c r="B29" s="1" t="s">
        <v>40</v>
      </c>
      <c r="C29" s="23">
        <v>30</v>
      </c>
      <c r="D29" s="24">
        <v>37</v>
      </c>
    </row>
    <row r="30" spans="2:10" ht="15.75" thickBot="1" x14ac:dyDescent="0.3">
      <c r="B30" s="1" t="s">
        <v>39</v>
      </c>
      <c r="C30" s="23">
        <v>8.3000000000000007</v>
      </c>
      <c r="D30" s="24">
        <v>3</v>
      </c>
    </row>
    <row r="31" spans="2:10" x14ac:dyDescent="0.25">
      <c r="B31" s="54" t="s">
        <v>45</v>
      </c>
      <c r="C31" s="55"/>
      <c r="D31" s="55" t="s">
        <v>46</v>
      </c>
      <c r="E31" s="56"/>
      <c r="F31" s="54" t="s">
        <v>48</v>
      </c>
      <c r="G31" s="55"/>
      <c r="H31" s="55"/>
      <c r="I31" s="55"/>
      <c r="J31" s="56"/>
    </row>
    <row r="32" spans="2:10" ht="30" x14ac:dyDescent="0.25">
      <c r="B32" s="27" t="s">
        <v>40</v>
      </c>
      <c r="C32" s="58" t="s">
        <v>39</v>
      </c>
      <c r="D32" s="58" t="s">
        <v>40</v>
      </c>
      <c r="E32" s="24" t="s">
        <v>39</v>
      </c>
      <c r="F32" s="27"/>
      <c r="G32" s="58" t="s">
        <v>40</v>
      </c>
      <c r="H32" s="58" t="s">
        <v>39</v>
      </c>
      <c r="I32" s="67" t="s">
        <v>49</v>
      </c>
      <c r="J32" s="31" t="s">
        <v>50</v>
      </c>
    </row>
    <row r="33" spans="1:10" x14ac:dyDescent="0.25">
      <c r="A33">
        <v>1</v>
      </c>
      <c r="B33" s="27">
        <v>10</v>
      </c>
      <c r="C33" s="58">
        <v>200</v>
      </c>
      <c r="D33" s="59">
        <v>26</v>
      </c>
      <c r="E33" s="24">
        <v>200</v>
      </c>
      <c r="F33" s="27">
        <v>1</v>
      </c>
      <c r="G33" s="58">
        <v>30</v>
      </c>
      <c r="H33" s="58">
        <v>19.5</v>
      </c>
      <c r="I33" s="68">
        <f>SQRT((B33-G33)^2+(C33-H33)^2)</f>
        <v>181.60465302408966</v>
      </c>
      <c r="J33" s="33">
        <f>SQRT((D33-G33)^2+(E33-H33)^2)</f>
        <v>180.54431588947907</v>
      </c>
    </row>
    <row r="34" spans="1:10" x14ac:dyDescent="0.25">
      <c r="A34">
        <v>2</v>
      </c>
      <c r="B34" s="27">
        <v>10</v>
      </c>
      <c r="C34" s="58">
        <v>198</v>
      </c>
      <c r="D34" s="59">
        <v>26</v>
      </c>
      <c r="E34" s="24">
        <v>198</v>
      </c>
      <c r="F34" s="27">
        <v>1</v>
      </c>
      <c r="G34" s="58">
        <v>30</v>
      </c>
      <c r="H34" s="58">
        <v>19.5</v>
      </c>
      <c r="I34" s="68">
        <f t="shared" ref="I34:I97" si="0">SQRT((B34-G34)^2+(C34-H34)^2)</f>
        <v>179.61695354281011</v>
      </c>
      <c r="J34" s="33">
        <f t="shared" ref="J34:J97" si="1">SQRT((D34-G34)^2+(E34-H34)^2)</f>
        <v>178.54481230212207</v>
      </c>
    </row>
    <row r="35" spans="1:10" x14ac:dyDescent="0.25">
      <c r="A35">
        <v>3</v>
      </c>
      <c r="B35" s="27">
        <v>10</v>
      </c>
      <c r="C35" s="58">
        <v>196</v>
      </c>
      <c r="D35" s="59">
        <v>26</v>
      </c>
      <c r="E35" s="24">
        <v>196</v>
      </c>
      <c r="F35" s="27">
        <v>1</v>
      </c>
      <c r="G35" s="58">
        <v>30</v>
      </c>
      <c r="H35" s="58">
        <v>19.5</v>
      </c>
      <c r="I35" s="68">
        <f t="shared" si="0"/>
        <v>177.62953020261017</v>
      </c>
      <c r="J35" s="33">
        <f t="shared" si="1"/>
        <v>176.54531996062653</v>
      </c>
    </row>
    <row r="36" spans="1:10" x14ac:dyDescent="0.25">
      <c r="A36">
        <v>4</v>
      </c>
      <c r="B36" s="27">
        <v>10</v>
      </c>
      <c r="C36" s="58">
        <v>194</v>
      </c>
      <c r="D36" s="59">
        <v>26</v>
      </c>
      <c r="E36" s="24">
        <v>194</v>
      </c>
      <c r="F36" s="27">
        <v>1</v>
      </c>
      <c r="G36" s="58">
        <v>30</v>
      </c>
      <c r="H36" s="58">
        <v>19.5</v>
      </c>
      <c r="I36" s="68">
        <f t="shared" si="0"/>
        <v>175.64239237723905</v>
      </c>
      <c r="J36" s="33">
        <f t="shared" si="1"/>
        <v>174.54583925146997</v>
      </c>
    </row>
    <row r="37" spans="1:10" x14ac:dyDescent="0.25">
      <c r="A37">
        <v>5</v>
      </c>
      <c r="B37" s="27">
        <v>10</v>
      </c>
      <c r="C37" s="58">
        <v>192</v>
      </c>
      <c r="D37" s="59">
        <v>26</v>
      </c>
      <c r="E37" s="24">
        <v>192</v>
      </c>
      <c r="F37" s="27">
        <v>1</v>
      </c>
      <c r="G37" s="58">
        <v>30</v>
      </c>
      <c r="H37" s="58">
        <v>19.5</v>
      </c>
      <c r="I37" s="68">
        <f t="shared" si="0"/>
        <v>173.65554986812256</v>
      </c>
      <c r="J37" s="33">
        <f t="shared" si="1"/>
        <v>172.54637057904174</v>
      </c>
    </row>
    <row r="38" spans="1:10" x14ac:dyDescent="0.25">
      <c r="A38">
        <v>6</v>
      </c>
      <c r="B38" s="27">
        <v>10</v>
      </c>
      <c r="C38" s="58">
        <v>190</v>
      </c>
      <c r="D38" s="59">
        <v>26</v>
      </c>
      <c r="E38" s="24">
        <v>190</v>
      </c>
      <c r="F38" s="27">
        <v>1</v>
      </c>
      <c r="G38" s="58">
        <v>30</v>
      </c>
      <c r="H38" s="58">
        <v>19.5</v>
      </c>
      <c r="I38" s="68">
        <f t="shared" si="0"/>
        <v>171.66901292895</v>
      </c>
      <c r="J38" s="33">
        <f t="shared" si="1"/>
        <v>170.54691436669268</v>
      </c>
    </row>
    <row r="39" spans="1:10" x14ac:dyDescent="0.25">
      <c r="A39">
        <v>7</v>
      </c>
      <c r="B39" s="27">
        <v>10</v>
      </c>
      <c r="C39" s="58">
        <v>188</v>
      </c>
      <c r="D39" s="59">
        <v>26</v>
      </c>
      <c r="E39" s="24">
        <v>188</v>
      </c>
      <c r="F39" s="27">
        <v>1</v>
      </c>
      <c r="G39" s="58">
        <v>30</v>
      </c>
      <c r="H39" s="58">
        <v>19.5</v>
      </c>
      <c r="I39" s="68">
        <f t="shared" si="0"/>
        <v>169.68279229197049</v>
      </c>
      <c r="J39" s="33">
        <f t="shared" si="1"/>
        <v>168.54747105785955</v>
      </c>
    </row>
    <row r="40" spans="1:10" x14ac:dyDescent="0.25">
      <c r="A40">
        <v>8</v>
      </c>
      <c r="B40" s="27">
        <v>10</v>
      </c>
      <c r="C40" s="58">
        <v>186</v>
      </c>
      <c r="D40" s="59">
        <v>26</v>
      </c>
      <c r="E40" s="24">
        <v>186</v>
      </c>
      <c r="F40" s="27">
        <v>1</v>
      </c>
      <c r="G40" s="58">
        <v>30</v>
      </c>
      <c r="H40" s="58">
        <v>19.5</v>
      </c>
      <c r="I40" s="68">
        <f t="shared" si="0"/>
        <v>167.69689919613899</v>
      </c>
      <c r="J40" s="33">
        <f t="shared" si="1"/>
        <v>166.54804111727043</v>
      </c>
    </row>
    <row r="41" spans="1:10" x14ac:dyDescent="0.25">
      <c r="A41">
        <v>9</v>
      </c>
      <c r="B41" s="27">
        <v>10</v>
      </c>
      <c r="C41" s="58">
        <v>184</v>
      </c>
      <c r="D41" s="59">
        <v>26</v>
      </c>
      <c r="E41" s="24">
        <v>184</v>
      </c>
      <c r="F41" s="27">
        <v>1</v>
      </c>
      <c r="G41" s="58">
        <v>30</v>
      </c>
      <c r="H41" s="58">
        <v>19.5</v>
      </c>
      <c r="I41" s="68">
        <f t="shared" si="0"/>
        <v>165.71134541726465</v>
      </c>
      <c r="J41" s="33">
        <f t="shared" si="1"/>
        <v>164.54862503223782</v>
      </c>
    </row>
    <row r="42" spans="1:10" x14ac:dyDescent="0.25">
      <c r="A42">
        <v>10</v>
      </c>
      <c r="B42" s="27">
        <v>10</v>
      </c>
      <c r="C42" s="58">
        <v>182</v>
      </c>
      <c r="D42" s="59">
        <v>26</v>
      </c>
      <c r="E42" s="24">
        <v>182</v>
      </c>
      <c r="F42" s="27">
        <v>1</v>
      </c>
      <c r="G42" s="58">
        <v>30</v>
      </c>
      <c r="H42" s="58">
        <v>19.5</v>
      </c>
      <c r="I42" s="68">
        <f t="shared" si="0"/>
        <v>163.7261433003294</v>
      </c>
      <c r="J42" s="33">
        <f t="shared" si="1"/>
        <v>162.54922331404725</v>
      </c>
    </row>
    <row r="43" spans="1:10" x14ac:dyDescent="0.25">
      <c r="A43">
        <v>11</v>
      </c>
      <c r="B43" s="27">
        <v>10</v>
      </c>
      <c r="C43" s="58">
        <v>180</v>
      </c>
      <c r="D43" s="59">
        <v>26</v>
      </c>
      <c r="E43" s="24">
        <v>180</v>
      </c>
      <c r="F43" s="27">
        <v>1</v>
      </c>
      <c r="G43" s="58">
        <v>30</v>
      </c>
      <c r="H43" s="58">
        <v>19.5</v>
      </c>
      <c r="I43" s="68">
        <f t="shared" si="0"/>
        <v>161.74130579416007</v>
      </c>
      <c r="J43" s="33">
        <f t="shared" si="1"/>
        <v>160.54983649944961</v>
      </c>
    </row>
    <row r="44" spans="1:10" x14ac:dyDescent="0.25">
      <c r="A44">
        <v>12</v>
      </c>
      <c r="B44" s="27">
        <v>10</v>
      </c>
      <c r="C44" s="58">
        <v>178</v>
      </c>
      <c r="D44" s="59">
        <v>26</v>
      </c>
      <c r="E44" s="24">
        <v>178</v>
      </c>
      <c r="F44" s="27">
        <v>1</v>
      </c>
      <c r="G44" s="58">
        <v>30</v>
      </c>
      <c r="H44" s="58">
        <v>19.5</v>
      </c>
      <c r="I44" s="68">
        <f t="shared" si="0"/>
        <v>159.75684648865601</v>
      </c>
      <c r="J44" s="33">
        <f t="shared" si="1"/>
        <v>158.55046515226627</v>
      </c>
    </row>
    <row r="45" spans="1:10" x14ac:dyDescent="0.25">
      <c r="A45">
        <v>13</v>
      </c>
      <c r="B45" s="27">
        <v>10</v>
      </c>
      <c r="C45" s="58">
        <v>176</v>
      </c>
      <c r="D45" s="59">
        <v>26</v>
      </c>
      <c r="E45" s="24">
        <v>176</v>
      </c>
      <c r="F45" s="27">
        <v>1</v>
      </c>
      <c r="G45" s="58">
        <v>30</v>
      </c>
      <c r="H45" s="58">
        <v>19.5</v>
      </c>
      <c r="I45" s="68">
        <f t="shared" si="0"/>
        <v>157.77277965479342</v>
      </c>
      <c r="J45" s="33">
        <f t="shared" si="1"/>
        <v>156.55110986511721</v>
      </c>
    </row>
    <row r="46" spans="1:10" x14ac:dyDescent="0.25">
      <c r="A46">
        <v>14</v>
      </c>
      <c r="B46" s="27">
        <v>10</v>
      </c>
      <c r="C46" s="58">
        <v>174</v>
      </c>
      <c r="D46" s="59">
        <v>26</v>
      </c>
      <c r="E46" s="24">
        <v>174</v>
      </c>
      <c r="F46" s="27">
        <v>1</v>
      </c>
      <c r="G46" s="58">
        <v>30</v>
      </c>
      <c r="H46" s="58">
        <v>19.5</v>
      </c>
      <c r="I46" s="68">
        <f t="shared" si="0"/>
        <v>155.78912028765038</v>
      </c>
      <c r="J46" s="33">
        <f t="shared" si="1"/>
        <v>154.55177126128319</v>
      </c>
    </row>
    <row r="47" spans="1:10" x14ac:dyDescent="0.25">
      <c r="A47">
        <v>15</v>
      </c>
      <c r="B47" s="27">
        <v>10</v>
      </c>
      <c r="C47" s="58">
        <v>172</v>
      </c>
      <c r="D47" s="59">
        <v>26</v>
      </c>
      <c r="E47" s="24">
        <v>172</v>
      </c>
      <c r="F47" s="27">
        <v>1</v>
      </c>
      <c r="G47" s="58">
        <v>30</v>
      </c>
      <c r="H47" s="58">
        <v>19.5</v>
      </c>
      <c r="I47" s="68">
        <f t="shared" si="0"/>
        <v>153.80588415272024</v>
      </c>
      <c r="J47" s="33">
        <f t="shared" si="1"/>
        <v>152.55244999671424</v>
      </c>
    </row>
    <row r="48" spans="1:10" x14ac:dyDescent="0.25">
      <c r="A48">
        <v>16</v>
      </c>
      <c r="B48" s="27">
        <v>10</v>
      </c>
      <c r="C48" s="58">
        <v>170</v>
      </c>
      <c r="D48" s="59">
        <v>26</v>
      </c>
      <c r="E48" s="24">
        <v>170</v>
      </c>
      <c r="F48" s="27">
        <v>1</v>
      </c>
      <c r="G48" s="58">
        <v>30</v>
      </c>
      <c r="H48" s="58">
        <v>19.5</v>
      </c>
      <c r="I48" s="68">
        <f t="shared" si="0"/>
        <v>151.82308783580973</v>
      </c>
      <c r="J48" s="33">
        <f t="shared" si="1"/>
        <v>150.55314676219822</v>
      </c>
    </row>
    <row r="49" spans="1:11" x14ac:dyDescent="0.25">
      <c r="A49">
        <v>17</v>
      </c>
      <c r="B49" s="27">
        <v>10</v>
      </c>
      <c r="C49" s="58">
        <v>168</v>
      </c>
      <c r="D49" s="59">
        <v>26</v>
      </c>
      <c r="E49" s="24">
        <v>168</v>
      </c>
      <c r="F49" s="27">
        <v>1</v>
      </c>
      <c r="G49" s="58">
        <v>30</v>
      </c>
      <c r="H49" s="58">
        <v>19.5</v>
      </c>
      <c r="I49" s="68">
        <f t="shared" si="0"/>
        <v>149.84074879684763</v>
      </c>
      <c r="J49" s="33">
        <f t="shared" si="1"/>
        <v>148.5538622857043</v>
      </c>
    </row>
    <row r="50" spans="1:11" ht="15.75" thickBot="1" x14ac:dyDescent="0.3">
      <c r="A50">
        <v>18</v>
      </c>
      <c r="B50" s="28">
        <v>10</v>
      </c>
      <c r="C50" s="22">
        <v>166</v>
      </c>
      <c r="D50" s="4">
        <v>26</v>
      </c>
      <c r="E50" s="25">
        <v>166</v>
      </c>
      <c r="F50" s="28">
        <v>1</v>
      </c>
      <c r="G50" s="22">
        <v>30</v>
      </c>
      <c r="H50" s="22">
        <v>19.5</v>
      </c>
      <c r="I50" s="34">
        <f t="shared" si="0"/>
        <v>147.85888542796474</v>
      </c>
      <c r="J50" s="35">
        <f t="shared" si="1"/>
        <v>146.55459733491816</v>
      </c>
    </row>
    <row r="51" spans="1:11" ht="15.75" thickBot="1" x14ac:dyDescent="0.3">
      <c r="A51" s="59"/>
      <c r="B51" s="58"/>
      <c r="C51" s="58"/>
      <c r="D51" s="59"/>
      <c r="E51" s="58"/>
      <c r="F51" s="58"/>
      <c r="G51" s="58"/>
      <c r="H51" s="58"/>
      <c r="I51" s="68"/>
      <c r="J51" s="68"/>
      <c r="K51" s="59"/>
    </row>
    <row r="52" spans="1:11" ht="30" x14ac:dyDescent="0.25">
      <c r="A52" s="6" t="s">
        <v>88</v>
      </c>
      <c r="B52" s="7" t="s">
        <v>89</v>
      </c>
      <c r="C52" s="69" t="s">
        <v>90</v>
      </c>
      <c r="D52" s="76" t="s">
        <v>91</v>
      </c>
      <c r="E52" s="8" t="s">
        <v>86</v>
      </c>
      <c r="F52" s="58"/>
      <c r="G52" s="58"/>
      <c r="H52" s="58"/>
      <c r="I52" s="68"/>
      <c r="J52" s="68"/>
      <c r="K52" s="59"/>
    </row>
    <row r="53" spans="1:11" x14ac:dyDescent="0.25">
      <c r="A53" s="17">
        <v>0</v>
      </c>
      <c r="B53" s="74">
        <v>1.45</v>
      </c>
      <c r="C53" s="62">
        <f>B53*$S$4*365*$S$3</f>
        <v>2117</v>
      </c>
      <c r="D53" s="70">
        <f>S6</f>
        <v>1.2</v>
      </c>
      <c r="E53" s="71">
        <f>C53*D53</f>
        <v>2540.4</v>
      </c>
      <c r="F53" s="58"/>
      <c r="G53" s="58"/>
      <c r="H53" s="58"/>
      <c r="I53" s="68"/>
      <c r="J53" s="68"/>
      <c r="K53" s="59"/>
    </row>
    <row r="54" spans="1:11" x14ac:dyDescent="0.25">
      <c r="A54" s="17">
        <v>1</v>
      </c>
      <c r="B54" s="74">
        <v>1.45</v>
      </c>
      <c r="C54" s="62">
        <f t="shared" ref="C54:C78" si="2">B54*$S$4*365*$S$3</f>
        <v>2117</v>
      </c>
      <c r="D54" s="70">
        <f>D53+D53*$S$5</f>
        <v>1.296</v>
      </c>
      <c r="E54" s="71">
        <f t="shared" ref="E54:E78" si="3">C54*D54</f>
        <v>2743.6320000000001</v>
      </c>
      <c r="F54" s="58"/>
      <c r="G54" s="58"/>
      <c r="H54" s="58"/>
      <c r="I54" s="68"/>
      <c r="J54" s="68"/>
      <c r="K54" s="59"/>
    </row>
    <row r="55" spans="1:11" x14ac:dyDescent="0.25">
      <c r="A55" s="17">
        <v>2</v>
      </c>
      <c r="B55" s="74">
        <v>1.45</v>
      </c>
      <c r="C55" s="62">
        <f t="shared" si="2"/>
        <v>2117</v>
      </c>
      <c r="D55" s="70">
        <f>D54+D54*$S$5</f>
        <v>1.39968</v>
      </c>
      <c r="E55" s="71">
        <f t="shared" si="3"/>
        <v>2963.1225600000002</v>
      </c>
      <c r="F55" s="58"/>
      <c r="G55" s="58"/>
      <c r="H55" s="58"/>
      <c r="I55" s="68"/>
      <c r="J55" s="68"/>
      <c r="K55" s="59"/>
    </row>
    <row r="56" spans="1:11" x14ac:dyDescent="0.25">
      <c r="A56" s="17">
        <v>3</v>
      </c>
      <c r="B56" s="74">
        <v>1.45</v>
      </c>
      <c r="C56" s="62">
        <f t="shared" si="2"/>
        <v>2117</v>
      </c>
      <c r="D56" s="70">
        <f t="shared" ref="D56:D78" si="4">D55+D55*$S$5</f>
        <v>1.5116544000000001</v>
      </c>
      <c r="E56" s="71">
        <f t="shared" si="3"/>
        <v>3200.1723648000002</v>
      </c>
      <c r="F56" s="58"/>
      <c r="G56" s="58"/>
      <c r="H56" s="58"/>
      <c r="I56" s="68"/>
      <c r="J56" s="68"/>
      <c r="K56" s="59"/>
    </row>
    <row r="57" spans="1:11" x14ac:dyDescent="0.25">
      <c r="A57" s="17">
        <v>4</v>
      </c>
      <c r="B57" s="74">
        <v>1.45</v>
      </c>
      <c r="C57" s="62">
        <f t="shared" si="2"/>
        <v>2117</v>
      </c>
      <c r="D57" s="70">
        <f t="shared" si="4"/>
        <v>1.6325867520000001</v>
      </c>
      <c r="E57" s="71">
        <f t="shared" si="3"/>
        <v>3456.1861539840002</v>
      </c>
      <c r="F57" s="58"/>
      <c r="G57" s="58"/>
      <c r="H57" s="58"/>
      <c r="I57" s="68"/>
      <c r="J57" s="68"/>
      <c r="K57" s="59"/>
    </row>
    <row r="58" spans="1:11" x14ac:dyDescent="0.25">
      <c r="A58" s="17">
        <v>5</v>
      </c>
      <c r="B58" s="74">
        <v>1.45</v>
      </c>
      <c r="C58" s="62">
        <f t="shared" si="2"/>
        <v>2117</v>
      </c>
      <c r="D58" s="70">
        <f t="shared" si="4"/>
        <v>1.7631936921600002</v>
      </c>
      <c r="E58" s="71">
        <f t="shared" si="3"/>
        <v>3732.6810463027205</v>
      </c>
      <c r="F58" s="58"/>
      <c r="G58" s="58"/>
      <c r="H58" s="58"/>
      <c r="I58" s="68"/>
      <c r="J58" s="68"/>
      <c r="K58" s="59"/>
    </row>
    <row r="59" spans="1:11" x14ac:dyDescent="0.25">
      <c r="A59" s="17">
        <v>6</v>
      </c>
      <c r="B59" s="74">
        <v>1.45</v>
      </c>
      <c r="C59" s="62">
        <f t="shared" si="2"/>
        <v>2117</v>
      </c>
      <c r="D59" s="70">
        <f t="shared" si="4"/>
        <v>1.9042491875328003</v>
      </c>
      <c r="E59" s="71">
        <f t="shared" si="3"/>
        <v>4031.295530006938</v>
      </c>
      <c r="F59" s="58"/>
      <c r="G59" s="58"/>
      <c r="H59" s="58"/>
      <c r="I59" s="68"/>
      <c r="J59" s="68"/>
      <c r="K59" s="59"/>
    </row>
    <row r="60" spans="1:11" x14ac:dyDescent="0.25">
      <c r="A60" s="17">
        <v>7</v>
      </c>
      <c r="B60" s="74">
        <v>1.45</v>
      </c>
      <c r="C60" s="62">
        <f t="shared" si="2"/>
        <v>2117</v>
      </c>
      <c r="D60" s="70">
        <f t="shared" si="4"/>
        <v>2.0565891225354243</v>
      </c>
      <c r="E60" s="71">
        <f t="shared" si="3"/>
        <v>4353.7991724074927</v>
      </c>
      <c r="F60" s="58"/>
      <c r="G60" s="58"/>
      <c r="H60" s="58"/>
      <c r="I60" s="68"/>
      <c r="J60" s="68"/>
      <c r="K60" s="59"/>
    </row>
    <row r="61" spans="1:11" x14ac:dyDescent="0.25">
      <c r="A61" s="17">
        <v>8</v>
      </c>
      <c r="B61" s="74">
        <v>1.45</v>
      </c>
      <c r="C61" s="62">
        <f t="shared" si="2"/>
        <v>2117</v>
      </c>
      <c r="D61" s="70">
        <f t="shared" si="4"/>
        <v>2.2211162523382582</v>
      </c>
      <c r="E61" s="71">
        <f t="shared" si="3"/>
        <v>4702.103106200093</v>
      </c>
      <c r="F61" s="58"/>
      <c r="G61" s="58"/>
      <c r="H61" s="58"/>
      <c r="I61" s="68"/>
      <c r="J61" s="68"/>
      <c r="K61" s="59"/>
    </row>
    <row r="62" spans="1:11" x14ac:dyDescent="0.25">
      <c r="A62" s="17">
        <v>9</v>
      </c>
      <c r="B62" s="74">
        <v>1.45</v>
      </c>
      <c r="C62" s="62">
        <f t="shared" si="2"/>
        <v>2117</v>
      </c>
      <c r="D62" s="70">
        <f t="shared" si="4"/>
        <v>2.3988055525253187</v>
      </c>
      <c r="E62" s="71">
        <f t="shared" si="3"/>
        <v>5078.2713546960995</v>
      </c>
      <c r="F62" s="58"/>
      <c r="G62" s="58"/>
      <c r="H62" s="58"/>
      <c r="I62" s="68"/>
      <c r="J62" s="68"/>
      <c r="K62" s="59"/>
    </row>
    <row r="63" spans="1:11" x14ac:dyDescent="0.25">
      <c r="A63" s="17">
        <v>10</v>
      </c>
      <c r="B63" s="74">
        <v>1.45</v>
      </c>
      <c r="C63" s="62">
        <f t="shared" si="2"/>
        <v>2117</v>
      </c>
      <c r="D63" s="70">
        <f t="shared" si="4"/>
        <v>2.5907099967273441</v>
      </c>
      <c r="E63" s="71">
        <f t="shared" si="3"/>
        <v>5484.5330630717872</v>
      </c>
      <c r="F63" s="58"/>
      <c r="G63" s="58"/>
      <c r="H63" s="58"/>
      <c r="I63" s="68"/>
      <c r="J63" s="68"/>
      <c r="K63" s="59"/>
    </row>
    <row r="64" spans="1:11" x14ac:dyDescent="0.25">
      <c r="A64" s="17">
        <v>11</v>
      </c>
      <c r="B64" s="74">
        <v>1.45</v>
      </c>
      <c r="C64" s="62">
        <f t="shared" si="2"/>
        <v>2117</v>
      </c>
      <c r="D64" s="70">
        <f t="shared" si="4"/>
        <v>2.7979667964655315</v>
      </c>
      <c r="E64" s="71">
        <f t="shared" si="3"/>
        <v>5923.29570811753</v>
      </c>
      <c r="F64" s="58"/>
      <c r="G64" s="58"/>
      <c r="H64" s="58"/>
      <c r="I64" s="68"/>
      <c r="J64" s="68"/>
      <c r="K64" s="59"/>
    </row>
    <row r="65" spans="1:11" x14ac:dyDescent="0.25">
      <c r="A65" s="17">
        <v>12</v>
      </c>
      <c r="B65" s="74">
        <v>1.45</v>
      </c>
      <c r="C65" s="62">
        <f t="shared" si="2"/>
        <v>2117</v>
      </c>
      <c r="D65" s="70">
        <f t="shared" si="4"/>
        <v>3.0218041401827742</v>
      </c>
      <c r="E65" s="71">
        <f t="shared" si="3"/>
        <v>6397.1593647669333</v>
      </c>
      <c r="F65" s="58"/>
      <c r="G65" s="58"/>
      <c r="H65" s="58"/>
      <c r="I65" s="68"/>
      <c r="J65" s="68"/>
      <c r="K65" s="59"/>
    </row>
    <row r="66" spans="1:11" x14ac:dyDescent="0.25">
      <c r="A66" s="17">
        <v>13</v>
      </c>
      <c r="B66" s="74">
        <v>1.45</v>
      </c>
      <c r="C66" s="62">
        <f t="shared" si="2"/>
        <v>2117</v>
      </c>
      <c r="D66" s="70">
        <f t="shared" si="4"/>
        <v>3.2635484713973963</v>
      </c>
      <c r="E66" s="71">
        <f t="shared" si="3"/>
        <v>6908.9321139482881</v>
      </c>
      <c r="F66" s="58"/>
      <c r="G66" s="58"/>
      <c r="H66" s="58"/>
      <c r="I66" s="68"/>
      <c r="J66" s="68"/>
      <c r="K66" s="59"/>
    </row>
    <row r="67" spans="1:11" x14ac:dyDescent="0.25">
      <c r="A67" s="17">
        <v>14</v>
      </c>
      <c r="B67" s="74">
        <v>1.45</v>
      </c>
      <c r="C67" s="62">
        <f t="shared" si="2"/>
        <v>2117</v>
      </c>
      <c r="D67" s="70">
        <f t="shared" si="4"/>
        <v>3.5246323491091882</v>
      </c>
      <c r="E67" s="71">
        <f t="shared" si="3"/>
        <v>7461.6466830641511</v>
      </c>
      <c r="F67" s="58"/>
      <c r="G67" s="58"/>
      <c r="H67" s="58"/>
      <c r="I67" s="68"/>
      <c r="J67" s="68"/>
      <c r="K67" s="59"/>
    </row>
    <row r="68" spans="1:11" x14ac:dyDescent="0.25">
      <c r="A68" s="17">
        <v>15</v>
      </c>
      <c r="B68" s="74">
        <v>1.45</v>
      </c>
      <c r="C68" s="62">
        <f t="shared" si="2"/>
        <v>2117</v>
      </c>
      <c r="D68" s="70">
        <f t="shared" si="4"/>
        <v>3.8066029370379235</v>
      </c>
      <c r="E68" s="71">
        <f t="shared" si="3"/>
        <v>8058.5784177092837</v>
      </c>
      <c r="F68" s="58"/>
      <c r="G68" s="58"/>
      <c r="H68" s="58"/>
      <c r="I68" s="68"/>
      <c r="J68" s="68"/>
      <c r="K68" s="59"/>
    </row>
    <row r="69" spans="1:11" x14ac:dyDescent="0.25">
      <c r="A69" s="17">
        <v>16</v>
      </c>
      <c r="B69" s="74">
        <v>1.45</v>
      </c>
      <c r="C69" s="62">
        <f t="shared" si="2"/>
        <v>2117</v>
      </c>
      <c r="D69" s="70">
        <f t="shared" si="4"/>
        <v>4.1111311720009578</v>
      </c>
      <c r="E69" s="71">
        <f t="shared" si="3"/>
        <v>8703.2646911260272</v>
      </c>
      <c r="F69" s="58"/>
      <c r="G69" s="58"/>
      <c r="H69" s="58"/>
      <c r="I69" s="68"/>
      <c r="J69" s="68"/>
      <c r="K69" s="59"/>
    </row>
    <row r="70" spans="1:11" x14ac:dyDescent="0.25">
      <c r="A70" s="17">
        <v>17</v>
      </c>
      <c r="B70" s="74">
        <v>1.45</v>
      </c>
      <c r="C70" s="62">
        <f t="shared" si="2"/>
        <v>2117</v>
      </c>
      <c r="D70" s="70">
        <f t="shared" si="4"/>
        <v>4.4400216657610345</v>
      </c>
      <c r="E70" s="71">
        <f t="shared" si="3"/>
        <v>9399.5258664161101</v>
      </c>
      <c r="F70" s="58"/>
      <c r="G70" s="58"/>
      <c r="H70" s="58"/>
      <c r="I70" s="68"/>
      <c r="J70" s="68"/>
      <c r="K70" s="59"/>
    </row>
    <row r="71" spans="1:11" x14ac:dyDescent="0.25">
      <c r="A71" s="17">
        <v>18</v>
      </c>
      <c r="B71" s="74">
        <v>1.45</v>
      </c>
      <c r="C71" s="62">
        <f t="shared" si="2"/>
        <v>2117</v>
      </c>
      <c r="D71" s="70">
        <f t="shared" si="4"/>
        <v>4.7952233990219177</v>
      </c>
      <c r="E71" s="71">
        <f t="shared" si="3"/>
        <v>10151.487935729399</v>
      </c>
      <c r="F71" s="58"/>
      <c r="G71" s="58"/>
      <c r="H71" s="58"/>
      <c r="I71" s="68"/>
      <c r="J71" s="68"/>
      <c r="K71" s="59"/>
    </row>
    <row r="72" spans="1:11" x14ac:dyDescent="0.25">
      <c r="A72" s="17">
        <v>19</v>
      </c>
      <c r="B72" s="74">
        <v>1.45</v>
      </c>
      <c r="C72" s="62">
        <f t="shared" si="2"/>
        <v>2117</v>
      </c>
      <c r="D72" s="70">
        <f t="shared" si="4"/>
        <v>5.1788412709436713</v>
      </c>
      <c r="E72" s="71">
        <f t="shared" si="3"/>
        <v>10963.606970587753</v>
      </c>
      <c r="F72" s="58"/>
      <c r="G72" s="58"/>
      <c r="H72" s="58"/>
      <c r="I72" s="68"/>
      <c r="J72" s="68"/>
      <c r="K72" s="59"/>
    </row>
    <row r="73" spans="1:11" x14ac:dyDescent="0.25">
      <c r="A73" s="17">
        <v>20</v>
      </c>
      <c r="B73" s="74">
        <v>1.45</v>
      </c>
      <c r="C73" s="62">
        <f t="shared" si="2"/>
        <v>2117</v>
      </c>
      <c r="D73" s="70">
        <f t="shared" si="4"/>
        <v>5.5931485726191648</v>
      </c>
      <c r="E73" s="71">
        <f t="shared" si="3"/>
        <v>11840.695528234772</v>
      </c>
      <c r="F73" s="58"/>
      <c r="G73" s="58"/>
      <c r="H73" s="58"/>
      <c r="I73" s="68"/>
      <c r="J73" s="68"/>
      <c r="K73" s="59"/>
    </row>
    <row r="74" spans="1:11" x14ac:dyDescent="0.25">
      <c r="A74" s="17">
        <v>21</v>
      </c>
      <c r="B74" s="74">
        <v>1.45</v>
      </c>
      <c r="C74" s="62">
        <f t="shared" si="2"/>
        <v>2117</v>
      </c>
      <c r="D74" s="70">
        <f t="shared" si="4"/>
        <v>6.0406004584286981</v>
      </c>
      <c r="E74" s="71">
        <f t="shared" si="3"/>
        <v>12787.951170493554</v>
      </c>
      <c r="F74" s="58"/>
      <c r="G74" s="58"/>
      <c r="H74" s="58"/>
      <c r="I74" s="68"/>
      <c r="J74" s="68"/>
      <c r="K74" s="59"/>
    </row>
    <row r="75" spans="1:11" x14ac:dyDescent="0.25">
      <c r="A75" s="17">
        <v>22</v>
      </c>
      <c r="B75" s="74">
        <v>1.45</v>
      </c>
      <c r="C75" s="62">
        <f t="shared" si="2"/>
        <v>2117</v>
      </c>
      <c r="D75" s="70">
        <f t="shared" si="4"/>
        <v>6.5238484951029942</v>
      </c>
      <c r="E75" s="71">
        <f t="shared" si="3"/>
        <v>13810.987264133038</v>
      </c>
      <c r="F75" s="58"/>
      <c r="G75" s="58"/>
      <c r="H75" s="58"/>
      <c r="I75" s="68"/>
      <c r="J75" s="68"/>
      <c r="K75" s="59"/>
    </row>
    <row r="76" spans="1:11" x14ac:dyDescent="0.25">
      <c r="A76" s="17">
        <v>23</v>
      </c>
      <c r="B76" s="74">
        <v>1.45</v>
      </c>
      <c r="C76" s="62">
        <f t="shared" si="2"/>
        <v>2117</v>
      </c>
      <c r="D76" s="70">
        <f t="shared" si="4"/>
        <v>7.0457563747112335</v>
      </c>
      <c r="E76" s="71">
        <f t="shared" si="3"/>
        <v>14915.866245263682</v>
      </c>
      <c r="F76" s="58"/>
      <c r="G76" s="58"/>
      <c r="H76" s="58"/>
      <c r="I76" s="68"/>
      <c r="J76" s="68"/>
      <c r="K76" s="59"/>
    </row>
    <row r="77" spans="1:11" x14ac:dyDescent="0.25">
      <c r="A77" s="17">
        <v>24</v>
      </c>
      <c r="B77" s="74">
        <v>1.45</v>
      </c>
      <c r="C77" s="62">
        <f t="shared" si="2"/>
        <v>2117</v>
      </c>
      <c r="D77" s="70">
        <f t="shared" si="4"/>
        <v>7.609416884688132</v>
      </c>
      <c r="E77" s="71">
        <f t="shared" si="3"/>
        <v>16109.135544884775</v>
      </c>
      <c r="F77" s="58"/>
      <c r="G77" s="58"/>
      <c r="H77" s="58"/>
      <c r="I77" s="68"/>
      <c r="J77" s="68"/>
      <c r="K77" s="59"/>
    </row>
    <row r="78" spans="1:11" ht="15.75" thickBot="1" x14ac:dyDescent="0.3">
      <c r="A78" s="18">
        <v>25</v>
      </c>
      <c r="B78" s="74">
        <v>1.45</v>
      </c>
      <c r="C78" s="19">
        <f t="shared" si="2"/>
        <v>2117</v>
      </c>
      <c r="D78" s="72">
        <f t="shared" si="4"/>
        <v>8.218170235463182</v>
      </c>
      <c r="E78" s="73">
        <f t="shared" si="3"/>
        <v>17397.866388475555</v>
      </c>
      <c r="F78" s="58"/>
      <c r="G78" s="58"/>
      <c r="H78" s="58"/>
      <c r="I78" s="68"/>
      <c r="J78" s="68"/>
      <c r="K78" s="59"/>
    </row>
    <row r="79" spans="1:11" x14ac:dyDescent="0.25">
      <c r="A79" s="59"/>
      <c r="B79" s="58"/>
      <c r="C79" s="58"/>
      <c r="D79" s="59"/>
      <c r="E79" s="58"/>
      <c r="F79" s="58"/>
      <c r="G79" s="58"/>
      <c r="H79" s="58"/>
      <c r="I79" s="68"/>
      <c r="J79" s="68"/>
      <c r="K79" s="59"/>
    </row>
    <row r="80" spans="1:11" x14ac:dyDescent="0.25">
      <c r="A80" s="59"/>
      <c r="B80" s="58"/>
      <c r="C80" s="58"/>
      <c r="D80" s="59"/>
      <c r="E80" s="58"/>
      <c r="F80" s="58"/>
      <c r="G80" s="58"/>
      <c r="H80" s="58"/>
      <c r="I80" s="68"/>
      <c r="J80" s="68"/>
      <c r="K80" s="59"/>
    </row>
    <row r="81" spans="1:11" x14ac:dyDescent="0.25">
      <c r="A81" s="59"/>
      <c r="B81" s="58"/>
      <c r="C81" s="58"/>
      <c r="D81" s="59"/>
      <c r="E81" s="58"/>
      <c r="F81" s="58"/>
      <c r="G81" s="58"/>
      <c r="H81" s="58"/>
      <c r="I81" s="68"/>
      <c r="J81" s="68"/>
      <c r="K81" s="59"/>
    </row>
    <row r="82" spans="1:11" x14ac:dyDescent="0.25">
      <c r="A82" s="59"/>
      <c r="B82" s="58"/>
      <c r="C82" s="58"/>
      <c r="D82" s="59"/>
      <c r="E82" s="58"/>
      <c r="F82" s="58"/>
      <c r="G82" s="58"/>
      <c r="H82" s="58"/>
      <c r="I82" s="68"/>
      <c r="J82" s="68"/>
      <c r="K82" s="59"/>
    </row>
    <row r="83" spans="1:11" x14ac:dyDescent="0.25">
      <c r="A83" s="59"/>
      <c r="B83" s="58"/>
      <c r="C83" s="58"/>
      <c r="D83" s="59"/>
      <c r="E83" s="58"/>
      <c r="F83" s="58"/>
      <c r="G83" s="58"/>
      <c r="H83" s="58"/>
      <c r="I83" s="68"/>
      <c r="J83" s="68"/>
      <c r="K83" s="59"/>
    </row>
    <row r="84" spans="1:11" x14ac:dyDescent="0.25">
      <c r="A84" s="59"/>
      <c r="B84" s="58"/>
      <c r="C84" s="58"/>
      <c r="D84" s="59"/>
      <c r="E84" s="58"/>
      <c r="F84" s="58"/>
      <c r="G84" s="58"/>
      <c r="H84" s="58"/>
      <c r="I84" s="68"/>
      <c r="J84" s="68"/>
      <c r="K84" s="59"/>
    </row>
    <row r="85" spans="1:11" x14ac:dyDescent="0.25">
      <c r="A85" s="59"/>
      <c r="B85" s="58"/>
      <c r="C85" s="58"/>
      <c r="D85" s="59"/>
      <c r="E85" s="58"/>
      <c r="F85" s="58"/>
      <c r="G85" s="58"/>
      <c r="H85" s="58"/>
      <c r="I85" s="68"/>
      <c r="J85" s="68"/>
      <c r="K85" s="59"/>
    </row>
    <row r="86" spans="1:11" x14ac:dyDescent="0.25">
      <c r="A86" s="59"/>
      <c r="B86" s="58"/>
      <c r="C86" s="58"/>
      <c r="D86" s="59"/>
      <c r="E86" s="58"/>
      <c r="F86" s="58"/>
      <c r="G86" s="58"/>
      <c r="H86" s="58"/>
      <c r="I86" s="68"/>
      <c r="J86" s="68"/>
      <c r="K86" s="59"/>
    </row>
    <row r="87" spans="1:11" x14ac:dyDescent="0.25">
      <c r="A87" s="59"/>
      <c r="B87" s="58"/>
      <c r="C87" s="58"/>
      <c r="D87" s="59"/>
      <c r="E87" s="58"/>
      <c r="F87" s="58"/>
      <c r="G87" s="58"/>
      <c r="H87" s="58"/>
      <c r="I87" s="68"/>
      <c r="J87" s="68"/>
      <c r="K87" s="59"/>
    </row>
    <row r="88" spans="1:11" x14ac:dyDescent="0.25">
      <c r="A88" s="59"/>
      <c r="B88" s="58"/>
      <c r="C88" s="58"/>
      <c r="D88" s="59"/>
      <c r="E88" s="58"/>
      <c r="F88" s="58"/>
      <c r="G88" s="58"/>
      <c r="H88" s="58"/>
      <c r="I88" s="68"/>
      <c r="J88" s="68"/>
      <c r="K88" s="59"/>
    </row>
    <row r="89" spans="1:11" x14ac:dyDescent="0.25">
      <c r="A89" s="59"/>
      <c r="B89" s="58"/>
      <c r="C89" s="58"/>
      <c r="D89" s="59"/>
      <c r="E89" s="58"/>
      <c r="F89" s="58"/>
      <c r="G89" s="58"/>
      <c r="H89" s="58"/>
      <c r="I89" s="68"/>
      <c r="J89" s="68"/>
      <c r="K89" s="59"/>
    </row>
    <row r="90" spans="1:11" x14ac:dyDescent="0.25">
      <c r="A90" s="59"/>
      <c r="B90" s="58"/>
      <c r="C90" s="58"/>
      <c r="D90" s="59"/>
      <c r="E90" s="58"/>
      <c r="F90" s="58"/>
      <c r="G90" s="58"/>
      <c r="H90" s="58"/>
      <c r="I90" s="68"/>
      <c r="J90" s="68"/>
      <c r="K90" s="59"/>
    </row>
    <row r="91" spans="1:11" x14ac:dyDescent="0.25">
      <c r="A91" s="59"/>
      <c r="B91" s="58"/>
      <c r="C91" s="58"/>
      <c r="D91" s="59"/>
      <c r="E91" s="58"/>
      <c r="F91" s="58"/>
      <c r="G91" s="58"/>
      <c r="H91" s="58"/>
      <c r="I91" s="68"/>
      <c r="J91" s="68"/>
      <c r="K91" s="59"/>
    </row>
    <row r="92" spans="1:11" x14ac:dyDescent="0.25">
      <c r="A92" s="59"/>
      <c r="B92" s="58"/>
      <c r="C92" s="58"/>
      <c r="D92" s="59"/>
      <c r="E92" s="58"/>
      <c r="F92" s="58"/>
      <c r="G92" s="58"/>
      <c r="H92" s="58"/>
      <c r="I92" s="68"/>
      <c r="J92" s="68"/>
      <c r="K92" s="59"/>
    </row>
    <row r="93" spans="1:11" x14ac:dyDescent="0.25">
      <c r="A93" s="59"/>
      <c r="B93" s="58"/>
      <c r="C93" s="58"/>
      <c r="D93" s="59"/>
      <c r="E93" s="58"/>
      <c r="F93" s="58"/>
      <c r="G93" s="58"/>
      <c r="H93" s="58"/>
      <c r="I93" s="68"/>
      <c r="J93" s="68"/>
      <c r="K93" s="59"/>
    </row>
    <row r="94" spans="1:11" x14ac:dyDescent="0.25">
      <c r="A94" s="59"/>
      <c r="B94" s="58"/>
      <c r="C94" s="58"/>
      <c r="D94" s="59"/>
      <c r="E94" s="58"/>
      <c r="F94" s="58"/>
      <c r="G94" s="58"/>
      <c r="H94" s="58"/>
      <c r="I94" s="68"/>
      <c r="J94" s="68"/>
      <c r="K94" s="59"/>
    </row>
    <row r="95" spans="1:11" x14ac:dyDescent="0.25">
      <c r="A95" s="59"/>
      <c r="B95" s="58"/>
      <c r="C95" s="58"/>
      <c r="D95" s="59"/>
      <c r="E95" s="58"/>
      <c r="F95" s="58"/>
      <c r="G95" s="58"/>
      <c r="H95" s="58"/>
      <c r="I95" s="68"/>
      <c r="J95" s="68"/>
      <c r="K95" s="59"/>
    </row>
    <row r="96" spans="1:11" x14ac:dyDescent="0.25">
      <c r="A96" s="59"/>
      <c r="B96" s="58"/>
      <c r="C96" s="58"/>
      <c r="D96" s="59"/>
      <c r="E96" s="58"/>
      <c r="F96" s="58"/>
      <c r="G96" s="58"/>
      <c r="H96" s="58"/>
      <c r="I96" s="68"/>
      <c r="J96" s="68"/>
      <c r="K96" s="59"/>
    </row>
    <row r="97" spans="1:11" x14ac:dyDescent="0.25">
      <c r="A97" s="59"/>
      <c r="B97" s="58"/>
      <c r="C97" s="58"/>
      <c r="D97" s="59"/>
      <c r="E97" s="58"/>
      <c r="F97" s="58"/>
      <c r="G97" s="58"/>
      <c r="H97" s="58"/>
      <c r="I97" s="68"/>
      <c r="J97" s="68"/>
      <c r="K97" s="59"/>
    </row>
    <row r="98" spans="1:11" x14ac:dyDescent="0.25">
      <c r="A98" s="59"/>
      <c r="B98" s="58"/>
      <c r="C98" s="58"/>
      <c r="D98" s="59"/>
      <c r="E98" s="58"/>
      <c r="F98" s="58"/>
      <c r="G98" s="58"/>
      <c r="H98" s="58"/>
      <c r="I98" s="68"/>
      <c r="J98" s="68"/>
      <c r="K98" s="59"/>
    </row>
    <row r="99" spans="1:11" x14ac:dyDescent="0.25">
      <c r="A99" s="59"/>
      <c r="B99" s="58"/>
      <c r="C99" s="58"/>
      <c r="D99" s="59"/>
      <c r="E99" s="58"/>
      <c r="F99" s="58"/>
      <c r="G99" s="58"/>
      <c r="H99" s="58"/>
      <c r="I99" s="68"/>
      <c r="J99" s="68"/>
      <c r="K99" s="59"/>
    </row>
    <row r="100" spans="1:11" x14ac:dyDescent="0.25">
      <c r="A100" s="59"/>
      <c r="B100" s="58"/>
      <c r="C100" s="58"/>
      <c r="D100" s="59"/>
      <c r="E100" s="58"/>
      <c r="F100" s="58"/>
      <c r="G100" s="58"/>
      <c r="H100" s="58"/>
      <c r="I100" s="68"/>
      <c r="J100" s="68"/>
      <c r="K100" s="59"/>
    </row>
    <row r="101" spans="1:11" x14ac:dyDescent="0.25">
      <c r="A101" s="59"/>
      <c r="B101" s="58"/>
      <c r="C101" s="58"/>
      <c r="D101" s="59"/>
      <c r="E101" s="58"/>
      <c r="F101" s="58"/>
      <c r="G101" s="58"/>
      <c r="H101" s="58"/>
      <c r="I101" s="68"/>
      <c r="J101" s="68"/>
      <c r="K101" s="59"/>
    </row>
    <row r="102" spans="1:11" x14ac:dyDescent="0.25">
      <c r="A102" s="59"/>
      <c r="B102" s="58"/>
      <c r="C102" s="58"/>
      <c r="D102" s="59"/>
      <c r="E102" s="58"/>
      <c r="F102" s="58"/>
      <c r="G102" s="58"/>
      <c r="H102" s="58"/>
      <c r="I102" s="68"/>
      <c r="J102" s="68"/>
      <c r="K102" s="59"/>
    </row>
    <row r="103" spans="1:11" x14ac:dyDescent="0.25">
      <c r="A103" s="59"/>
      <c r="B103" s="58"/>
      <c r="C103" s="58"/>
      <c r="D103" s="59"/>
      <c r="E103" s="58"/>
      <c r="F103" s="58"/>
      <c r="G103" s="58"/>
      <c r="H103" s="58"/>
      <c r="I103" s="68"/>
      <c r="J103" s="68"/>
      <c r="K103" s="59"/>
    </row>
    <row r="104" spans="1:11" x14ac:dyDescent="0.25">
      <c r="A104" s="59"/>
      <c r="B104" s="58"/>
      <c r="C104" s="58"/>
      <c r="D104" s="59"/>
      <c r="E104" s="58"/>
      <c r="F104" s="58"/>
      <c r="G104" s="58"/>
      <c r="H104" s="58"/>
      <c r="I104" s="68"/>
      <c r="J104" s="68"/>
      <c r="K104" s="59"/>
    </row>
    <row r="105" spans="1:11" x14ac:dyDescent="0.25">
      <c r="A105" s="59"/>
      <c r="B105" s="58"/>
      <c r="C105" s="58"/>
      <c r="D105" s="59"/>
      <c r="E105" s="58"/>
      <c r="F105" s="58"/>
      <c r="G105" s="58"/>
      <c r="H105" s="58"/>
      <c r="I105" s="68"/>
      <c r="J105" s="68"/>
      <c r="K105" s="59"/>
    </row>
    <row r="106" spans="1:11" x14ac:dyDescent="0.25">
      <c r="A106" s="59"/>
      <c r="B106" s="58"/>
      <c r="C106" s="58"/>
      <c r="D106" s="59"/>
      <c r="E106" s="58"/>
      <c r="F106" s="58"/>
      <c r="G106" s="58"/>
      <c r="H106" s="58"/>
      <c r="I106" s="68"/>
      <c r="J106" s="68"/>
      <c r="K106" s="59"/>
    </row>
    <row r="107" spans="1:11" x14ac:dyDescent="0.25">
      <c r="A107" s="59"/>
      <c r="B107" s="58"/>
      <c r="C107" s="58"/>
      <c r="D107" s="59"/>
      <c r="E107" s="58"/>
      <c r="F107" s="58"/>
      <c r="G107" s="58"/>
      <c r="H107" s="58"/>
      <c r="I107" s="68"/>
      <c r="J107" s="68"/>
      <c r="K107" s="59"/>
    </row>
    <row r="108" spans="1:11" x14ac:dyDescent="0.25">
      <c r="A108" s="59"/>
      <c r="B108" s="58"/>
      <c r="C108" s="58"/>
      <c r="D108" s="59"/>
      <c r="E108" s="58"/>
      <c r="F108" s="58"/>
      <c r="G108" s="58"/>
      <c r="H108" s="58"/>
      <c r="I108" s="68"/>
      <c r="J108" s="68"/>
      <c r="K108" s="59"/>
    </row>
    <row r="109" spans="1:11" x14ac:dyDescent="0.25">
      <c r="A109" s="59"/>
      <c r="B109" s="58"/>
      <c r="C109" s="58"/>
      <c r="D109" s="59"/>
      <c r="E109" s="58"/>
      <c r="F109" s="58"/>
      <c r="G109" s="58"/>
      <c r="H109" s="58"/>
      <c r="I109" s="68"/>
      <c r="J109" s="68"/>
      <c r="K109" s="59"/>
    </row>
    <row r="110" spans="1:11" x14ac:dyDescent="0.25">
      <c r="A110" s="59"/>
      <c r="B110" s="58"/>
      <c r="C110" s="58"/>
      <c r="D110" s="59"/>
      <c r="E110" s="58"/>
      <c r="F110" s="58"/>
      <c r="G110" s="58"/>
      <c r="H110" s="58"/>
      <c r="I110" s="68"/>
      <c r="J110" s="68"/>
      <c r="K110" s="59"/>
    </row>
    <row r="111" spans="1:11" x14ac:dyDescent="0.25">
      <c r="A111" s="59"/>
      <c r="B111" s="58"/>
      <c r="C111" s="58"/>
      <c r="D111" s="59"/>
      <c r="E111" s="58"/>
      <c r="F111" s="58"/>
      <c r="G111" s="58"/>
      <c r="H111" s="58"/>
      <c r="I111" s="68"/>
      <c r="J111" s="68"/>
      <c r="K111" s="59"/>
    </row>
    <row r="112" spans="1:11" x14ac:dyDescent="0.25">
      <c r="A112" s="59"/>
      <c r="B112" s="58"/>
      <c r="C112" s="58"/>
      <c r="D112" s="59"/>
      <c r="E112" s="58"/>
      <c r="F112" s="58"/>
      <c r="G112" s="58"/>
      <c r="H112" s="58"/>
      <c r="I112" s="68"/>
      <c r="J112" s="68"/>
      <c r="K112" s="59"/>
    </row>
    <row r="113" spans="1:11" x14ac:dyDescent="0.25">
      <c r="A113" s="59"/>
      <c r="B113" s="58"/>
      <c r="C113" s="58"/>
      <c r="D113" s="59"/>
      <c r="E113" s="58"/>
      <c r="F113" s="58"/>
      <c r="G113" s="58"/>
      <c r="H113" s="58"/>
      <c r="I113" s="68"/>
      <c r="J113" s="68"/>
      <c r="K113" s="59"/>
    </row>
    <row r="114" spans="1:11" x14ac:dyDescent="0.25">
      <c r="A114" s="59"/>
      <c r="B114" s="58"/>
      <c r="C114" s="58"/>
      <c r="D114" s="59"/>
      <c r="E114" s="58"/>
      <c r="F114" s="58"/>
      <c r="G114" s="58"/>
      <c r="H114" s="58"/>
      <c r="I114" s="68"/>
      <c r="J114" s="68"/>
      <c r="K114" s="59"/>
    </row>
    <row r="115" spans="1:11" x14ac:dyDescent="0.25">
      <c r="A115" s="59"/>
      <c r="B115" s="58"/>
      <c r="C115" s="58"/>
      <c r="D115" s="59"/>
      <c r="E115" s="58"/>
      <c r="F115" s="58"/>
      <c r="G115" s="58"/>
      <c r="H115" s="58"/>
      <c r="I115" s="68"/>
      <c r="J115" s="68"/>
      <c r="K115" s="59"/>
    </row>
    <row r="116" spans="1:11" x14ac:dyDescent="0.25">
      <c r="A116" s="59"/>
      <c r="B116" s="58"/>
      <c r="C116" s="58"/>
      <c r="D116" s="59"/>
      <c r="E116" s="58"/>
      <c r="F116" s="58"/>
      <c r="G116" s="58"/>
      <c r="H116" s="58"/>
      <c r="I116" s="68"/>
      <c r="J116" s="68"/>
      <c r="K116" s="59"/>
    </row>
    <row r="117" spans="1:11" x14ac:dyDescent="0.25">
      <c r="A117" s="59"/>
      <c r="B117" s="58"/>
      <c r="C117" s="58"/>
      <c r="D117" s="59"/>
      <c r="E117" s="58"/>
      <c r="F117" s="58"/>
      <c r="G117" s="58"/>
      <c r="H117" s="58"/>
      <c r="I117" s="68"/>
      <c r="J117" s="68"/>
      <c r="K117" s="59"/>
    </row>
    <row r="118" spans="1:11" x14ac:dyDescent="0.25">
      <c r="A118" s="59"/>
      <c r="B118" s="58"/>
      <c r="C118" s="58"/>
      <c r="D118" s="59"/>
      <c r="E118" s="58"/>
      <c r="F118" s="58"/>
      <c r="G118" s="58"/>
      <c r="H118" s="58"/>
      <c r="I118" s="68"/>
      <c r="J118" s="68"/>
      <c r="K118" s="59"/>
    </row>
    <row r="119" spans="1:11" x14ac:dyDescent="0.25">
      <c r="A119" s="59"/>
      <c r="B119" s="58"/>
      <c r="C119" s="58"/>
      <c r="D119" s="59"/>
      <c r="E119" s="58"/>
      <c r="F119" s="58"/>
      <c r="G119" s="58"/>
      <c r="H119" s="58"/>
      <c r="I119" s="68"/>
      <c r="J119" s="68"/>
      <c r="K119" s="59"/>
    </row>
    <row r="120" spans="1:11" x14ac:dyDescent="0.25">
      <c r="A120" s="59"/>
      <c r="B120" s="58"/>
      <c r="C120" s="58"/>
      <c r="D120" s="59"/>
      <c r="E120" s="58"/>
      <c r="F120" s="58"/>
      <c r="G120" s="58"/>
      <c r="H120" s="58"/>
      <c r="I120" s="68"/>
      <c r="J120" s="68"/>
      <c r="K120" s="59"/>
    </row>
    <row r="121" spans="1:11" x14ac:dyDescent="0.25">
      <c r="A121" s="59"/>
      <c r="B121" s="58"/>
      <c r="C121" s="58"/>
      <c r="D121" s="59"/>
      <c r="E121" s="58"/>
      <c r="F121" s="58"/>
      <c r="G121" s="58"/>
      <c r="H121" s="58"/>
      <c r="I121" s="68"/>
      <c r="J121" s="68"/>
      <c r="K121" s="59"/>
    </row>
    <row r="122" spans="1:11" x14ac:dyDescent="0.25">
      <c r="A122" s="59"/>
      <c r="B122" s="58"/>
      <c r="C122" s="58"/>
      <c r="D122" s="59"/>
      <c r="E122" s="58"/>
      <c r="F122" s="58"/>
      <c r="G122" s="58"/>
      <c r="H122" s="58"/>
      <c r="I122" s="68"/>
      <c r="J122" s="68"/>
      <c r="K122" s="59"/>
    </row>
  </sheetData>
  <mergeCells count="33">
    <mergeCell ref="Q8:R8"/>
    <mergeCell ref="Q11:R11"/>
    <mergeCell ref="Q14:R14"/>
    <mergeCell ref="Q2:T2"/>
    <mergeCell ref="Q3:R3"/>
    <mergeCell ref="Q4:R4"/>
    <mergeCell ref="Q5:R5"/>
    <mergeCell ref="Q7:T7"/>
    <mergeCell ref="B31:C31"/>
    <mergeCell ref="D31:E31"/>
    <mergeCell ref="F31:J31"/>
    <mergeCell ref="B18:G18"/>
    <mergeCell ref="L2:O2"/>
    <mergeCell ref="F11:H11"/>
    <mergeCell ref="F12:H12"/>
    <mergeCell ref="F14:H14"/>
    <mergeCell ref="F15:H15"/>
    <mergeCell ref="L10:O10"/>
    <mergeCell ref="F6:H6"/>
    <mergeCell ref="F7:H7"/>
    <mergeCell ref="F8:H8"/>
    <mergeCell ref="F9:H9"/>
    <mergeCell ref="F10:H10"/>
    <mergeCell ref="L3:M3"/>
    <mergeCell ref="L4:M4"/>
    <mergeCell ref="L6:M6"/>
    <mergeCell ref="L8:M8"/>
    <mergeCell ref="B2:D2"/>
    <mergeCell ref="B8:D8"/>
    <mergeCell ref="F2:J2"/>
    <mergeCell ref="F3:H3"/>
    <mergeCell ref="F4:H4"/>
    <mergeCell ref="F5:H5"/>
  </mergeCells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6621B-CBA0-4ADA-A1BA-0301565EC88C}">
  <sheetPr codeName="Planilha3"/>
  <dimension ref="A1:T122"/>
  <sheetViews>
    <sheetView topLeftCell="A19" zoomScale="60" zoomScaleNormal="60" workbookViewId="0">
      <selection activeCell="C25" sqref="C25:G25"/>
    </sheetView>
  </sheetViews>
  <sheetFormatPr defaultRowHeight="15" x14ac:dyDescent="0.25"/>
  <cols>
    <col min="2" max="2" width="31.28515625" bestFit="1" customWidth="1"/>
    <col min="3" max="3" width="11.28515625" customWidth="1"/>
    <col min="5" max="5" width="16.5703125" customWidth="1"/>
    <col min="6" max="6" width="13" bestFit="1" customWidth="1"/>
    <col min="8" max="8" width="13.5703125" customWidth="1"/>
    <col min="9" max="9" width="11.28515625" customWidth="1"/>
    <col min="10" max="10" width="12.42578125" customWidth="1"/>
    <col min="13" max="13" width="16.28515625" bestFit="1" customWidth="1"/>
    <col min="14" max="14" width="14.28515625" customWidth="1"/>
    <col min="18" max="18" width="14.7109375" customWidth="1"/>
    <col min="19" max="19" width="21.42578125" customWidth="1"/>
  </cols>
  <sheetData>
    <row r="1" spans="2:20" ht="15.75" thickBot="1" x14ac:dyDescent="0.3"/>
    <row r="2" spans="2:20" x14ac:dyDescent="0.25">
      <c r="B2" s="49" t="s">
        <v>0</v>
      </c>
      <c r="C2" s="50"/>
      <c r="D2" s="51"/>
      <c r="F2" s="49" t="s">
        <v>12</v>
      </c>
      <c r="G2" s="50"/>
      <c r="H2" s="50"/>
      <c r="I2" s="50"/>
      <c r="J2" s="51"/>
      <c r="L2" s="54" t="s">
        <v>23</v>
      </c>
      <c r="M2" s="55"/>
      <c r="N2" s="55"/>
      <c r="O2" s="56"/>
      <c r="Q2" s="54" t="s">
        <v>80</v>
      </c>
      <c r="R2" s="55"/>
      <c r="S2" s="55"/>
      <c r="T2" s="56"/>
    </row>
    <row r="3" spans="2:20" x14ac:dyDescent="0.25">
      <c r="B3" s="11" t="s">
        <v>1</v>
      </c>
      <c r="C3" s="12" t="s">
        <v>8</v>
      </c>
      <c r="D3" s="13"/>
      <c r="F3" s="52" t="s">
        <v>13</v>
      </c>
      <c r="G3" s="53"/>
      <c r="H3" s="53"/>
      <c r="I3" s="12">
        <v>270</v>
      </c>
      <c r="J3" s="13"/>
      <c r="L3" s="45" t="s">
        <v>24</v>
      </c>
      <c r="M3" s="46"/>
      <c r="N3">
        <v>4</v>
      </c>
      <c r="O3" s="2" t="s">
        <v>26</v>
      </c>
      <c r="Q3" s="45" t="s">
        <v>76</v>
      </c>
      <c r="R3" s="60"/>
      <c r="S3" s="59">
        <v>0.8</v>
      </c>
      <c r="T3" s="2"/>
    </row>
    <row r="4" spans="2:20" x14ac:dyDescent="0.25">
      <c r="B4" s="11" t="s">
        <v>2</v>
      </c>
      <c r="C4" s="12">
        <v>550</v>
      </c>
      <c r="D4" s="13" t="s">
        <v>5</v>
      </c>
      <c r="F4" s="52" t="s">
        <v>14</v>
      </c>
      <c r="G4" s="53"/>
      <c r="H4" s="53"/>
      <c r="I4" s="12">
        <f>I3*C4/1000</f>
        <v>148.5</v>
      </c>
      <c r="J4" s="13" t="s">
        <v>18</v>
      </c>
      <c r="L4" s="45" t="s">
        <v>25</v>
      </c>
      <c r="M4" s="46"/>
      <c r="N4">
        <v>5.1000000000000004E-3</v>
      </c>
      <c r="O4" s="2" t="s">
        <v>31</v>
      </c>
      <c r="Q4" s="45" t="s">
        <v>77</v>
      </c>
      <c r="R4" s="60"/>
      <c r="S4" s="59">
        <v>5</v>
      </c>
      <c r="T4" s="2" t="s">
        <v>78</v>
      </c>
    </row>
    <row r="5" spans="2:20" x14ac:dyDescent="0.25">
      <c r="B5" s="11" t="s">
        <v>3</v>
      </c>
      <c r="C5" s="12">
        <v>39.65</v>
      </c>
      <c r="D5" s="13" t="s">
        <v>6</v>
      </c>
      <c r="F5" s="52" t="s">
        <v>15</v>
      </c>
      <c r="G5" s="53"/>
      <c r="H5" s="53"/>
      <c r="I5" s="12">
        <v>1</v>
      </c>
      <c r="J5" s="13"/>
      <c r="L5" s="1" t="s">
        <v>27</v>
      </c>
      <c r="N5">
        <v>50</v>
      </c>
      <c r="O5" s="2" t="s">
        <v>26</v>
      </c>
      <c r="Q5" s="45" t="s">
        <v>87</v>
      </c>
      <c r="R5" s="60"/>
      <c r="S5" s="81">
        <v>0.08</v>
      </c>
      <c r="T5" s="2"/>
    </row>
    <row r="6" spans="2:20" ht="15.75" thickBot="1" x14ac:dyDescent="0.3">
      <c r="B6" s="14" t="s">
        <v>4</v>
      </c>
      <c r="C6" s="15">
        <v>10.51</v>
      </c>
      <c r="D6" s="16" t="s">
        <v>7</v>
      </c>
      <c r="F6" s="52" t="s">
        <v>16</v>
      </c>
      <c r="G6" s="53"/>
      <c r="H6" s="53"/>
      <c r="I6" s="12">
        <f>I5*C10</f>
        <v>120</v>
      </c>
      <c r="J6" s="13" t="s">
        <v>18</v>
      </c>
      <c r="L6" s="45" t="s">
        <v>28</v>
      </c>
      <c r="M6" s="46"/>
      <c r="N6">
        <v>4.6000000000000001E-4</v>
      </c>
      <c r="O6" s="2" t="s">
        <v>31</v>
      </c>
      <c r="Q6" s="3" t="s">
        <v>79</v>
      </c>
      <c r="R6" s="4"/>
      <c r="S6" s="61">
        <v>1.2</v>
      </c>
      <c r="T6" s="5" t="s">
        <v>81</v>
      </c>
    </row>
    <row r="7" spans="2:20" ht="15.75" thickBot="1" x14ac:dyDescent="0.3">
      <c r="F7" s="52" t="s">
        <v>19</v>
      </c>
      <c r="G7" s="53"/>
      <c r="H7" s="53"/>
      <c r="I7" s="12">
        <v>18</v>
      </c>
      <c r="J7" s="13"/>
      <c r="L7" s="1" t="s">
        <v>29</v>
      </c>
      <c r="N7">
        <v>10</v>
      </c>
      <c r="O7" s="2" t="s">
        <v>26</v>
      </c>
      <c r="Q7" s="77" t="s">
        <v>82</v>
      </c>
      <c r="R7" s="78"/>
      <c r="S7" s="78"/>
      <c r="T7" s="79"/>
    </row>
    <row r="8" spans="2:20" ht="15.75" thickBot="1" x14ac:dyDescent="0.3">
      <c r="B8" s="49" t="s">
        <v>9</v>
      </c>
      <c r="C8" s="50"/>
      <c r="D8" s="51"/>
      <c r="F8" s="52" t="s">
        <v>20</v>
      </c>
      <c r="G8" s="53"/>
      <c r="H8" s="53"/>
      <c r="I8" s="12">
        <v>15</v>
      </c>
      <c r="J8" s="13"/>
      <c r="L8" s="47" t="s">
        <v>30</v>
      </c>
      <c r="M8" s="48"/>
      <c r="N8" s="4">
        <v>2.3999999999999998E-3</v>
      </c>
      <c r="O8" s="5" t="s">
        <v>31</v>
      </c>
      <c r="Q8" s="45" t="s">
        <v>24</v>
      </c>
      <c r="R8" s="60"/>
      <c r="S8" s="63">
        <f>C21*2*I7*4.1</f>
        <v>2407.892999678334</v>
      </c>
      <c r="T8" s="2"/>
    </row>
    <row r="9" spans="2:20" ht="15.75" thickBot="1" x14ac:dyDescent="0.3">
      <c r="B9" s="11" t="s">
        <v>1</v>
      </c>
      <c r="C9" s="12" t="s">
        <v>17</v>
      </c>
      <c r="D9" s="13"/>
      <c r="F9" s="52" t="s">
        <v>21</v>
      </c>
      <c r="G9" s="53"/>
      <c r="H9" s="53"/>
      <c r="I9" s="12">
        <v>10.55</v>
      </c>
      <c r="J9" s="13" t="s">
        <v>7</v>
      </c>
      <c r="Q9" s="1" t="s">
        <v>27</v>
      </c>
      <c r="R9" s="59"/>
      <c r="S9" s="63">
        <f>C22*3*59.6</f>
        <v>894</v>
      </c>
      <c r="T9" s="2"/>
    </row>
    <row r="10" spans="2:20" x14ac:dyDescent="0.25">
      <c r="B10" s="11" t="s">
        <v>2</v>
      </c>
      <c r="C10" s="12">
        <v>120</v>
      </c>
      <c r="D10" s="13" t="s">
        <v>18</v>
      </c>
      <c r="F10" s="52" t="s">
        <v>22</v>
      </c>
      <c r="G10" s="53"/>
      <c r="H10" s="53"/>
      <c r="I10" s="12">
        <f>C5*I8</f>
        <v>594.75</v>
      </c>
      <c r="J10" s="13" t="s">
        <v>6</v>
      </c>
      <c r="L10" s="54" t="s">
        <v>36</v>
      </c>
      <c r="M10" s="55"/>
      <c r="N10" s="55"/>
      <c r="O10" s="56"/>
      <c r="Q10" s="1" t="s">
        <v>29</v>
      </c>
      <c r="R10" s="59"/>
      <c r="S10" s="63">
        <f>3*C23*153</f>
        <v>82625.0998426023</v>
      </c>
      <c r="T10" s="2"/>
    </row>
    <row r="11" spans="2:20" x14ac:dyDescent="0.25">
      <c r="B11" s="11" t="s">
        <v>10</v>
      </c>
      <c r="C11" s="12">
        <v>191.3</v>
      </c>
      <c r="D11" s="13" t="s">
        <v>7</v>
      </c>
      <c r="F11" s="52" t="s">
        <v>32</v>
      </c>
      <c r="G11" s="53"/>
      <c r="H11" s="53"/>
      <c r="I11" s="12">
        <v>15000</v>
      </c>
      <c r="J11" s="13" t="s">
        <v>6</v>
      </c>
      <c r="L11" s="1"/>
      <c r="M11" t="s">
        <v>62</v>
      </c>
      <c r="N11" t="s">
        <v>70</v>
      </c>
      <c r="O11" s="2" t="s">
        <v>37</v>
      </c>
      <c r="Q11" s="45" t="s">
        <v>69</v>
      </c>
      <c r="R11" s="60"/>
      <c r="S11" s="80">
        <f>S8+S9+S10</f>
        <v>85926.992842280641</v>
      </c>
      <c r="T11" s="2"/>
    </row>
    <row r="12" spans="2:20" ht="15.75" thickBot="1" x14ac:dyDescent="0.3">
      <c r="B12" s="14" t="s">
        <v>11</v>
      </c>
      <c r="C12" s="15">
        <v>380</v>
      </c>
      <c r="D12" s="16" t="s">
        <v>6</v>
      </c>
      <c r="F12" s="52" t="s">
        <v>33</v>
      </c>
      <c r="G12" s="53"/>
      <c r="H12" s="53"/>
      <c r="I12" s="12">
        <v>380</v>
      </c>
      <c r="J12" s="13" t="s">
        <v>6</v>
      </c>
      <c r="L12" s="1" t="s">
        <v>66</v>
      </c>
      <c r="M12" t="s">
        <v>63</v>
      </c>
      <c r="N12" s="38">
        <f>F19</f>
        <v>0.20002287864046228</v>
      </c>
      <c r="O12" s="40">
        <f>F20</f>
        <v>1.3469554117202848E-3</v>
      </c>
      <c r="Q12" s="1" t="s">
        <v>83</v>
      </c>
      <c r="R12" s="59"/>
      <c r="S12" s="63">
        <f>SUM(E53:E78)</f>
        <v>51800.66888268957</v>
      </c>
      <c r="T12" s="2"/>
    </row>
    <row r="13" spans="2:20" ht="15.75" thickBot="1" x14ac:dyDescent="0.3">
      <c r="F13" s="1" t="s">
        <v>34</v>
      </c>
      <c r="I13">
        <f>C11*1</f>
        <v>191.3</v>
      </c>
      <c r="J13" s="13" t="s">
        <v>7</v>
      </c>
      <c r="L13" s="1" t="s">
        <v>67</v>
      </c>
      <c r="M13" t="s">
        <v>64</v>
      </c>
      <c r="N13" s="38">
        <f>F21</f>
        <v>0.15150615660000002</v>
      </c>
      <c r="O13" s="40">
        <f>F22</f>
        <v>1.020243478787879E-3</v>
      </c>
      <c r="Q13" s="1" t="s">
        <v>84</v>
      </c>
      <c r="R13" s="59"/>
      <c r="S13" s="81">
        <v>0.04</v>
      </c>
      <c r="T13" s="2"/>
    </row>
    <row r="14" spans="2:20" ht="15.75" thickBot="1" x14ac:dyDescent="0.3">
      <c r="B14" s="9" t="s">
        <v>71</v>
      </c>
      <c r="C14" s="7" t="s">
        <v>72</v>
      </c>
      <c r="D14" s="10" t="s">
        <v>73</v>
      </c>
      <c r="F14" s="47" t="s">
        <v>35</v>
      </c>
      <c r="G14" s="48"/>
      <c r="H14" s="48"/>
      <c r="I14" s="21">
        <f>I13*I12/I11</f>
        <v>4.8462666666666667</v>
      </c>
      <c r="J14" s="16" t="s">
        <v>7</v>
      </c>
      <c r="L14" s="1" t="s">
        <v>68</v>
      </c>
      <c r="M14" t="s">
        <v>65</v>
      </c>
      <c r="N14" s="38">
        <f>F23</f>
        <v>1.8264074657652639E-2</v>
      </c>
      <c r="O14" s="40">
        <f>F24</f>
        <v>1.229904017350346E-4</v>
      </c>
      <c r="Q14" s="47" t="s">
        <v>85</v>
      </c>
      <c r="R14" s="48"/>
      <c r="S14" s="82">
        <f>NPV(S13,S11,E53:E78)</f>
        <v>108596.15663335982</v>
      </c>
      <c r="T14" s="5"/>
    </row>
    <row r="15" spans="2:20" ht="15.75" thickBot="1" x14ac:dyDescent="0.3">
      <c r="B15" s="11" t="s">
        <v>40</v>
      </c>
      <c r="C15" s="12">
        <v>28</v>
      </c>
      <c r="D15" s="43">
        <v>40</v>
      </c>
      <c r="F15" s="46"/>
      <c r="G15" s="46"/>
      <c r="H15" s="46"/>
      <c r="L15" s="3"/>
      <c r="M15" s="4" t="s">
        <v>69</v>
      </c>
      <c r="N15" s="41">
        <f>N12+N13+N14</f>
        <v>0.36979310989811492</v>
      </c>
      <c r="O15" s="42">
        <f>O12+O13+O14</f>
        <v>2.4901892922431982E-3</v>
      </c>
    </row>
    <row r="16" spans="2:20" ht="15.75" thickBot="1" x14ac:dyDescent="0.3">
      <c r="B16" s="14" t="s">
        <v>39</v>
      </c>
      <c r="C16" s="19">
        <v>1</v>
      </c>
      <c r="D16" s="44">
        <v>200</v>
      </c>
    </row>
    <row r="17" spans="1:11" ht="15.75" thickBot="1" x14ac:dyDescent="0.3"/>
    <row r="18" spans="1:11" x14ac:dyDescent="0.25">
      <c r="B18" s="54" t="s">
        <v>38</v>
      </c>
      <c r="C18" s="55"/>
      <c r="D18" s="55"/>
      <c r="E18" s="55"/>
      <c r="F18" s="55"/>
      <c r="G18" s="56"/>
      <c r="I18" s="46"/>
      <c r="J18" s="46"/>
      <c r="K18" s="46"/>
    </row>
    <row r="19" spans="1:11" x14ac:dyDescent="0.25">
      <c r="B19" s="1" t="s">
        <v>51</v>
      </c>
      <c r="C19" s="32">
        <f>AVERAGE(I33:I122)</f>
        <v>22.434838671135257</v>
      </c>
      <c r="D19" t="s">
        <v>47</v>
      </c>
      <c r="E19" t="s">
        <v>53</v>
      </c>
      <c r="F19" s="20">
        <f>C21*2*N4*I7*I9^2*0.6/1000</f>
        <v>0.20002287864046228</v>
      </c>
      <c r="G19" s="2" t="s">
        <v>18</v>
      </c>
      <c r="I19" s="46"/>
      <c r="J19" s="46"/>
      <c r="K19" s="46"/>
    </row>
    <row r="20" spans="1:11" x14ac:dyDescent="0.25">
      <c r="B20" s="1" t="s">
        <v>52</v>
      </c>
      <c r="C20" s="32">
        <f>AVERAGE(J33:J122)</f>
        <v>10.192437747270359</v>
      </c>
      <c r="D20" t="s">
        <v>47</v>
      </c>
      <c r="E20" t="s">
        <v>54</v>
      </c>
      <c r="F20" s="36">
        <f>F19/I4</f>
        <v>1.3469554117202848E-3</v>
      </c>
      <c r="G20" s="2"/>
      <c r="I20" s="46"/>
      <c r="J20" s="46"/>
      <c r="K20" s="46"/>
    </row>
    <row r="21" spans="1:11" x14ac:dyDescent="0.25">
      <c r="B21" s="1" t="s">
        <v>55</v>
      </c>
      <c r="C21" s="32">
        <f>AVERAGE(C19:C20)</f>
        <v>16.313638209202807</v>
      </c>
      <c r="D21" t="s">
        <v>47</v>
      </c>
      <c r="E21" t="s">
        <v>57</v>
      </c>
      <c r="F21" s="20">
        <f>3*N6*C11^2*C22*0.6*I5/1000</f>
        <v>0.15150615660000002</v>
      </c>
      <c r="G21" s="2" t="s">
        <v>18</v>
      </c>
      <c r="I21" s="46"/>
      <c r="J21" s="46"/>
      <c r="K21" s="46"/>
    </row>
    <row r="22" spans="1:11" x14ac:dyDescent="0.25">
      <c r="B22" s="1" t="s">
        <v>56</v>
      </c>
      <c r="C22" s="32">
        <f>AVERAGE(SQRT((C26-C29)^2+(C27-C30)^2),SQRT((D26-C29)^2+(D27-C30)^2),SQRT((E26-C29)^2+(E27-C30)^2),SQRT((F26-C29)^2+(F27-C30)^2),SQRT((G26-C29)^2+(G27-C30)^2))</f>
        <v>5</v>
      </c>
      <c r="E22" t="s">
        <v>58</v>
      </c>
      <c r="F22" s="36">
        <f>F21/I4</f>
        <v>1.020243478787879E-3</v>
      </c>
      <c r="G22" s="2"/>
      <c r="I22" s="46"/>
      <c r="J22" s="46"/>
      <c r="K22" s="46"/>
    </row>
    <row r="23" spans="1:11" x14ac:dyDescent="0.25">
      <c r="B23" s="1" t="s">
        <v>59</v>
      </c>
      <c r="C23" s="37">
        <f>SQRT((C29-D29)^2+(C30-D30)^2)</f>
        <v>180.01111076819674</v>
      </c>
      <c r="D23" t="s">
        <v>47</v>
      </c>
      <c r="E23" t="s">
        <v>60</v>
      </c>
      <c r="F23" s="38">
        <f>3*N8*I14^2*C23*0.6/1000</f>
        <v>1.8264074657652639E-2</v>
      </c>
      <c r="G23" s="2" t="s">
        <v>18</v>
      </c>
    </row>
    <row r="24" spans="1:11" ht="15.75" thickBot="1" x14ac:dyDescent="0.3">
      <c r="B24" s="3"/>
      <c r="C24" s="4"/>
      <c r="D24" s="4"/>
      <c r="E24" s="4" t="s">
        <v>61</v>
      </c>
      <c r="F24" s="39">
        <f>F23/I4</f>
        <v>1.229904017350346E-4</v>
      </c>
      <c r="G24" s="5"/>
      <c r="I24" s="57" t="s">
        <v>74</v>
      </c>
      <c r="J24" s="57"/>
      <c r="K24" s="57"/>
    </row>
    <row r="25" spans="1:11" x14ac:dyDescent="0.25">
      <c r="B25" s="6" t="s">
        <v>41</v>
      </c>
      <c r="C25" s="7" t="s">
        <v>42</v>
      </c>
      <c r="D25" s="7" t="s">
        <v>42</v>
      </c>
      <c r="E25" s="7" t="s">
        <v>42</v>
      </c>
      <c r="F25" s="7" t="s">
        <v>42</v>
      </c>
      <c r="G25" s="7" t="s">
        <v>42</v>
      </c>
      <c r="I25" s="57"/>
      <c r="J25" s="57"/>
      <c r="K25" s="57"/>
    </row>
    <row r="26" spans="1:11" x14ac:dyDescent="0.25">
      <c r="B26" s="17" t="s">
        <v>40</v>
      </c>
      <c r="C26" s="58">
        <v>30</v>
      </c>
      <c r="D26" s="58">
        <v>30</v>
      </c>
      <c r="E26" s="58">
        <v>30</v>
      </c>
      <c r="F26" s="58">
        <v>30</v>
      </c>
      <c r="G26" s="24">
        <v>30</v>
      </c>
      <c r="I26" s="57"/>
      <c r="J26" s="57"/>
      <c r="K26" s="57"/>
    </row>
    <row r="27" spans="1:11" ht="15.75" thickBot="1" x14ac:dyDescent="0.3">
      <c r="B27" s="18" t="s">
        <v>39</v>
      </c>
      <c r="C27" s="22">
        <v>183</v>
      </c>
      <c r="D27" s="22">
        <v>183</v>
      </c>
      <c r="E27" s="22">
        <v>183</v>
      </c>
      <c r="F27" s="22">
        <v>183</v>
      </c>
      <c r="G27" s="25">
        <v>183</v>
      </c>
      <c r="I27" s="57"/>
      <c r="J27" s="57"/>
      <c r="K27" s="57"/>
    </row>
    <row r="28" spans="1:11" x14ac:dyDescent="0.25">
      <c r="B28" s="26" t="s">
        <v>41</v>
      </c>
      <c r="C28" s="29" t="s">
        <v>43</v>
      </c>
      <c r="D28" s="30" t="s">
        <v>44</v>
      </c>
      <c r="I28" s="57"/>
      <c r="J28" s="57"/>
      <c r="K28" s="57"/>
    </row>
    <row r="29" spans="1:11" x14ac:dyDescent="0.25">
      <c r="B29" s="1" t="s">
        <v>40</v>
      </c>
      <c r="C29" s="23">
        <v>35</v>
      </c>
      <c r="D29" s="24">
        <v>37</v>
      </c>
      <c r="I29" s="57"/>
      <c r="J29" s="57"/>
      <c r="K29" s="57"/>
    </row>
    <row r="30" spans="1:11" ht="15.75" thickBot="1" x14ac:dyDescent="0.3">
      <c r="B30" s="1" t="s">
        <v>39</v>
      </c>
      <c r="C30" s="23">
        <v>183</v>
      </c>
      <c r="D30" s="24">
        <v>3</v>
      </c>
    </row>
    <row r="31" spans="1:11" ht="43.5" customHeight="1" x14ac:dyDescent="0.25">
      <c r="A31" s="64"/>
      <c r="B31" s="65" t="s">
        <v>45</v>
      </c>
      <c r="C31" s="65"/>
      <c r="D31" s="65" t="s">
        <v>46</v>
      </c>
      <c r="E31" s="65"/>
      <c r="F31" s="55" t="s">
        <v>48</v>
      </c>
      <c r="G31" s="55"/>
      <c r="H31" s="55"/>
      <c r="I31" s="55"/>
      <c r="J31" s="56"/>
    </row>
    <row r="32" spans="1:11" ht="30" x14ac:dyDescent="0.25">
      <c r="A32" s="66" t="s">
        <v>75</v>
      </c>
      <c r="B32" s="58" t="s">
        <v>40</v>
      </c>
      <c r="C32" s="58" t="s">
        <v>39</v>
      </c>
      <c r="D32" s="58" t="s">
        <v>40</v>
      </c>
      <c r="E32" s="58" t="s">
        <v>39</v>
      </c>
      <c r="F32" s="58"/>
      <c r="G32" s="58" t="s">
        <v>40</v>
      </c>
      <c r="H32" s="58" t="s">
        <v>39</v>
      </c>
      <c r="I32" s="67" t="s">
        <v>49</v>
      </c>
      <c r="J32" s="31" t="s">
        <v>50</v>
      </c>
    </row>
    <row r="33" spans="1:10" x14ac:dyDescent="0.25">
      <c r="A33" s="1">
        <v>1</v>
      </c>
      <c r="B33" s="58">
        <v>10</v>
      </c>
      <c r="C33" s="58">
        <v>200</v>
      </c>
      <c r="D33" s="59">
        <v>26</v>
      </c>
      <c r="E33" s="58">
        <v>200</v>
      </c>
      <c r="F33" s="58">
        <v>5</v>
      </c>
      <c r="G33" s="58">
        <f>$G$26</f>
        <v>30</v>
      </c>
      <c r="H33" s="58">
        <f>$G$27</f>
        <v>183</v>
      </c>
      <c r="I33" s="68">
        <f>SQRT((B33-G33)^2+(C33-H33)^2)</f>
        <v>26.248809496813376</v>
      </c>
      <c r="J33" s="33">
        <f>SQRT((D33-G33)^2+(E33-H33)^2)</f>
        <v>17.464249196572979</v>
      </c>
    </row>
    <row r="34" spans="1:10" x14ac:dyDescent="0.25">
      <c r="A34" s="1">
        <v>2</v>
      </c>
      <c r="B34" s="58">
        <v>10</v>
      </c>
      <c r="C34" s="58">
        <v>198</v>
      </c>
      <c r="D34" s="59">
        <v>26</v>
      </c>
      <c r="E34" s="58">
        <v>198</v>
      </c>
      <c r="F34" s="58">
        <v>5</v>
      </c>
      <c r="G34" s="58">
        <f t="shared" ref="G34:G49" si="0">$G$26</f>
        <v>30</v>
      </c>
      <c r="H34" s="58">
        <f t="shared" ref="H34:H49" si="1">$G$27</f>
        <v>183</v>
      </c>
      <c r="I34" s="68">
        <f t="shared" ref="I34:I97" si="2">SQRT((B34-G34)^2+(C34-H34)^2)</f>
        <v>25</v>
      </c>
      <c r="J34" s="33">
        <f t="shared" ref="J34:J97" si="3">SQRT((D34-G34)^2+(E34-H34)^2)</f>
        <v>15.524174696260024</v>
      </c>
    </row>
    <row r="35" spans="1:10" x14ac:dyDescent="0.25">
      <c r="A35" s="1">
        <v>3</v>
      </c>
      <c r="B35" s="58">
        <v>10</v>
      </c>
      <c r="C35" s="58">
        <v>196</v>
      </c>
      <c r="D35" s="59">
        <v>26</v>
      </c>
      <c r="E35" s="58">
        <v>196</v>
      </c>
      <c r="F35" s="58">
        <v>5</v>
      </c>
      <c r="G35" s="58">
        <f t="shared" si="0"/>
        <v>30</v>
      </c>
      <c r="H35" s="58">
        <f t="shared" si="1"/>
        <v>183</v>
      </c>
      <c r="I35" s="68">
        <f t="shared" si="2"/>
        <v>23.853720883753127</v>
      </c>
      <c r="J35" s="33">
        <f t="shared" si="3"/>
        <v>13.601470508735444</v>
      </c>
    </row>
    <row r="36" spans="1:10" x14ac:dyDescent="0.25">
      <c r="A36" s="1">
        <v>4</v>
      </c>
      <c r="B36" s="58">
        <v>10</v>
      </c>
      <c r="C36" s="58">
        <v>194</v>
      </c>
      <c r="D36" s="59">
        <v>26</v>
      </c>
      <c r="E36" s="58">
        <v>194</v>
      </c>
      <c r="F36" s="58">
        <v>5</v>
      </c>
      <c r="G36" s="58">
        <f t="shared" si="0"/>
        <v>30</v>
      </c>
      <c r="H36" s="58">
        <f t="shared" si="1"/>
        <v>183</v>
      </c>
      <c r="I36" s="68">
        <f t="shared" si="2"/>
        <v>22.825424421026653</v>
      </c>
      <c r="J36" s="33">
        <f t="shared" si="3"/>
        <v>11.704699910719626</v>
      </c>
    </row>
    <row r="37" spans="1:10" x14ac:dyDescent="0.25">
      <c r="A37" s="1">
        <v>5</v>
      </c>
      <c r="B37" s="58">
        <v>10</v>
      </c>
      <c r="C37" s="58">
        <v>192</v>
      </c>
      <c r="D37" s="59">
        <v>26</v>
      </c>
      <c r="E37" s="58">
        <v>192</v>
      </c>
      <c r="F37" s="58">
        <v>5</v>
      </c>
      <c r="G37" s="58">
        <f t="shared" si="0"/>
        <v>30</v>
      </c>
      <c r="H37" s="58">
        <f t="shared" si="1"/>
        <v>183</v>
      </c>
      <c r="I37" s="68">
        <f t="shared" si="2"/>
        <v>21.931712199461309</v>
      </c>
      <c r="J37" s="33">
        <f t="shared" si="3"/>
        <v>9.8488578017961039</v>
      </c>
    </row>
    <row r="38" spans="1:10" x14ac:dyDescent="0.25">
      <c r="A38" s="1">
        <v>6</v>
      </c>
      <c r="B38" s="58">
        <v>10</v>
      </c>
      <c r="C38" s="58">
        <v>190</v>
      </c>
      <c r="D38" s="59">
        <v>26</v>
      </c>
      <c r="E38" s="58">
        <v>190</v>
      </c>
      <c r="F38" s="58">
        <v>5</v>
      </c>
      <c r="G38" s="58">
        <f t="shared" si="0"/>
        <v>30</v>
      </c>
      <c r="H38" s="58">
        <f t="shared" si="1"/>
        <v>183</v>
      </c>
      <c r="I38" s="68">
        <f t="shared" si="2"/>
        <v>21.189620100417091</v>
      </c>
      <c r="J38" s="33">
        <f t="shared" si="3"/>
        <v>8.0622577482985491</v>
      </c>
    </row>
    <row r="39" spans="1:10" x14ac:dyDescent="0.25">
      <c r="A39" s="1">
        <v>7</v>
      </c>
      <c r="B39" s="58">
        <v>10</v>
      </c>
      <c r="C39" s="58">
        <v>188</v>
      </c>
      <c r="D39" s="59">
        <v>26</v>
      </c>
      <c r="E39" s="58">
        <v>188</v>
      </c>
      <c r="F39" s="58">
        <v>5</v>
      </c>
      <c r="G39" s="58">
        <f t="shared" si="0"/>
        <v>30</v>
      </c>
      <c r="H39" s="58">
        <f t="shared" si="1"/>
        <v>183</v>
      </c>
      <c r="I39" s="68">
        <f t="shared" si="2"/>
        <v>20.615528128088304</v>
      </c>
      <c r="J39" s="33">
        <f t="shared" si="3"/>
        <v>6.4031242374328485</v>
      </c>
    </row>
    <row r="40" spans="1:10" x14ac:dyDescent="0.25">
      <c r="A40" s="1">
        <v>8</v>
      </c>
      <c r="B40" s="58">
        <v>10</v>
      </c>
      <c r="C40" s="58">
        <v>186</v>
      </c>
      <c r="D40" s="59">
        <v>26</v>
      </c>
      <c r="E40" s="58">
        <v>186</v>
      </c>
      <c r="F40" s="58">
        <v>5</v>
      </c>
      <c r="G40" s="58">
        <f t="shared" si="0"/>
        <v>30</v>
      </c>
      <c r="H40" s="58">
        <f t="shared" si="1"/>
        <v>183</v>
      </c>
      <c r="I40" s="68">
        <f t="shared" si="2"/>
        <v>20.223748416156685</v>
      </c>
      <c r="J40" s="33">
        <f t="shared" si="3"/>
        <v>5</v>
      </c>
    </row>
    <row r="41" spans="1:10" x14ac:dyDescent="0.25">
      <c r="A41" s="1">
        <v>9</v>
      </c>
      <c r="B41" s="58">
        <v>10</v>
      </c>
      <c r="C41" s="58">
        <v>184</v>
      </c>
      <c r="D41" s="59">
        <v>26</v>
      </c>
      <c r="E41" s="58">
        <v>184</v>
      </c>
      <c r="F41" s="58">
        <v>5</v>
      </c>
      <c r="G41" s="58">
        <f t="shared" si="0"/>
        <v>30</v>
      </c>
      <c r="H41" s="58">
        <f t="shared" si="1"/>
        <v>183</v>
      </c>
      <c r="I41" s="68">
        <f t="shared" si="2"/>
        <v>20.024984394500787</v>
      </c>
      <c r="J41" s="33">
        <f t="shared" si="3"/>
        <v>4.1231056256176606</v>
      </c>
    </row>
    <row r="42" spans="1:10" x14ac:dyDescent="0.25">
      <c r="A42" s="1">
        <v>10</v>
      </c>
      <c r="B42" s="58">
        <v>10</v>
      </c>
      <c r="C42" s="58">
        <v>182</v>
      </c>
      <c r="D42" s="59">
        <v>26</v>
      </c>
      <c r="E42" s="58">
        <v>182</v>
      </c>
      <c r="F42" s="58">
        <v>5</v>
      </c>
      <c r="G42" s="58">
        <f t="shared" si="0"/>
        <v>30</v>
      </c>
      <c r="H42" s="58">
        <f t="shared" si="1"/>
        <v>183</v>
      </c>
      <c r="I42" s="68">
        <f t="shared" si="2"/>
        <v>20.024984394500787</v>
      </c>
      <c r="J42" s="33">
        <f t="shared" si="3"/>
        <v>4.1231056256176606</v>
      </c>
    </row>
    <row r="43" spans="1:10" x14ac:dyDescent="0.25">
      <c r="A43" s="1">
        <v>11</v>
      </c>
      <c r="B43" s="58">
        <v>10</v>
      </c>
      <c r="C43" s="58">
        <v>180</v>
      </c>
      <c r="D43" s="59">
        <v>26</v>
      </c>
      <c r="E43" s="58">
        <v>180</v>
      </c>
      <c r="F43" s="58">
        <v>5</v>
      </c>
      <c r="G43" s="58">
        <f t="shared" si="0"/>
        <v>30</v>
      </c>
      <c r="H43" s="58">
        <f t="shared" si="1"/>
        <v>183</v>
      </c>
      <c r="I43" s="68">
        <f t="shared" si="2"/>
        <v>20.223748416156685</v>
      </c>
      <c r="J43" s="33">
        <f t="shared" si="3"/>
        <v>5</v>
      </c>
    </row>
    <row r="44" spans="1:10" x14ac:dyDescent="0.25">
      <c r="A44" s="1">
        <v>12</v>
      </c>
      <c r="B44" s="58">
        <v>10</v>
      </c>
      <c r="C44" s="58">
        <v>178</v>
      </c>
      <c r="D44" s="59">
        <v>26</v>
      </c>
      <c r="E44" s="58">
        <v>178</v>
      </c>
      <c r="F44" s="58">
        <v>5</v>
      </c>
      <c r="G44" s="58">
        <f t="shared" si="0"/>
        <v>30</v>
      </c>
      <c r="H44" s="58">
        <f t="shared" si="1"/>
        <v>183</v>
      </c>
      <c r="I44" s="68">
        <f t="shared" si="2"/>
        <v>20.615528128088304</v>
      </c>
      <c r="J44" s="33">
        <f t="shared" si="3"/>
        <v>6.4031242374328485</v>
      </c>
    </row>
    <row r="45" spans="1:10" x14ac:dyDescent="0.25">
      <c r="A45" s="1">
        <v>13</v>
      </c>
      <c r="B45" s="58">
        <v>10</v>
      </c>
      <c r="C45" s="58">
        <v>176</v>
      </c>
      <c r="D45" s="59">
        <v>26</v>
      </c>
      <c r="E45" s="58">
        <v>176</v>
      </c>
      <c r="F45" s="58">
        <v>5</v>
      </c>
      <c r="G45" s="58">
        <f t="shared" si="0"/>
        <v>30</v>
      </c>
      <c r="H45" s="58">
        <f t="shared" si="1"/>
        <v>183</v>
      </c>
      <c r="I45" s="68">
        <f t="shared" si="2"/>
        <v>21.189620100417091</v>
      </c>
      <c r="J45" s="33">
        <f t="shared" si="3"/>
        <v>8.0622577482985491</v>
      </c>
    </row>
    <row r="46" spans="1:10" x14ac:dyDescent="0.25">
      <c r="A46" s="1">
        <v>14</v>
      </c>
      <c r="B46" s="58">
        <v>10</v>
      </c>
      <c r="C46" s="58">
        <v>174</v>
      </c>
      <c r="D46" s="59">
        <v>26</v>
      </c>
      <c r="E46" s="58">
        <v>174</v>
      </c>
      <c r="F46" s="58">
        <v>5</v>
      </c>
      <c r="G46" s="58">
        <f t="shared" si="0"/>
        <v>30</v>
      </c>
      <c r="H46" s="58">
        <f t="shared" si="1"/>
        <v>183</v>
      </c>
      <c r="I46" s="68">
        <f t="shared" si="2"/>
        <v>21.931712199461309</v>
      </c>
      <c r="J46" s="33">
        <f t="shared" si="3"/>
        <v>9.8488578017961039</v>
      </c>
    </row>
    <row r="47" spans="1:10" x14ac:dyDescent="0.25">
      <c r="A47" s="1">
        <v>15</v>
      </c>
      <c r="B47" s="58">
        <v>10</v>
      </c>
      <c r="C47" s="58">
        <v>172</v>
      </c>
      <c r="D47" s="59">
        <v>26</v>
      </c>
      <c r="E47" s="58">
        <v>172</v>
      </c>
      <c r="F47" s="58">
        <v>5</v>
      </c>
      <c r="G47" s="58">
        <f t="shared" si="0"/>
        <v>30</v>
      </c>
      <c r="H47" s="58">
        <f t="shared" si="1"/>
        <v>183</v>
      </c>
      <c r="I47" s="68">
        <f t="shared" si="2"/>
        <v>22.825424421026653</v>
      </c>
      <c r="J47" s="33">
        <f t="shared" si="3"/>
        <v>11.704699910719626</v>
      </c>
    </row>
    <row r="48" spans="1:10" x14ac:dyDescent="0.25">
      <c r="A48" s="1">
        <v>16</v>
      </c>
      <c r="B48" s="58">
        <v>10</v>
      </c>
      <c r="C48" s="58">
        <v>170</v>
      </c>
      <c r="D48" s="59">
        <v>26</v>
      </c>
      <c r="E48" s="58">
        <v>170</v>
      </c>
      <c r="F48" s="58">
        <v>5</v>
      </c>
      <c r="G48" s="58">
        <f t="shared" si="0"/>
        <v>30</v>
      </c>
      <c r="H48" s="58">
        <f t="shared" si="1"/>
        <v>183</v>
      </c>
      <c r="I48" s="68">
        <f t="shared" si="2"/>
        <v>23.853720883753127</v>
      </c>
      <c r="J48" s="33">
        <f t="shared" si="3"/>
        <v>13.601470508735444</v>
      </c>
    </row>
    <row r="49" spans="1:11" x14ac:dyDescent="0.25">
      <c r="A49" s="1">
        <v>17</v>
      </c>
      <c r="B49" s="58">
        <v>10</v>
      </c>
      <c r="C49" s="58">
        <v>168</v>
      </c>
      <c r="D49" s="59">
        <v>26</v>
      </c>
      <c r="E49" s="58">
        <v>168</v>
      </c>
      <c r="F49" s="58">
        <v>5</v>
      </c>
      <c r="G49" s="58">
        <f t="shared" si="0"/>
        <v>30</v>
      </c>
      <c r="H49" s="58">
        <f t="shared" si="1"/>
        <v>183</v>
      </c>
      <c r="I49" s="68">
        <f t="shared" si="2"/>
        <v>25</v>
      </c>
      <c r="J49" s="33">
        <f t="shared" si="3"/>
        <v>15.524174696260024</v>
      </c>
    </row>
    <row r="50" spans="1:11" ht="15.75" thickBot="1" x14ac:dyDescent="0.3">
      <c r="A50" s="3">
        <v>18</v>
      </c>
      <c r="B50" s="22">
        <v>10</v>
      </c>
      <c r="C50" s="22">
        <v>166</v>
      </c>
      <c r="D50" s="4">
        <v>26</v>
      </c>
      <c r="E50" s="22">
        <v>166</v>
      </c>
      <c r="F50" s="22">
        <v>4</v>
      </c>
      <c r="G50" s="22">
        <f>$F$26</f>
        <v>30</v>
      </c>
      <c r="H50" s="22">
        <f>$F$27</f>
        <v>183</v>
      </c>
      <c r="I50" s="34">
        <f t="shared" si="2"/>
        <v>26.248809496813376</v>
      </c>
      <c r="J50" s="35">
        <f t="shared" si="3"/>
        <v>17.464249196572979</v>
      </c>
    </row>
    <row r="51" spans="1:11" ht="15.75" thickBot="1" x14ac:dyDescent="0.3">
      <c r="A51" s="59"/>
      <c r="B51" s="58"/>
      <c r="C51" s="58"/>
      <c r="D51" s="59"/>
      <c r="E51" s="58"/>
      <c r="F51" s="58"/>
      <c r="G51" s="58"/>
      <c r="H51" s="58"/>
      <c r="I51" s="68"/>
      <c r="J51" s="68"/>
      <c r="K51" s="59"/>
    </row>
    <row r="52" spans="1:11" ht="41.25" customHeight="1" x14ac:dyDescent="0.25">
      <c r="A52" s="6" t="s">
        <v>88</v>
      </c>
      <c r="B52" s="7" t="s">
        <v>89</v>
      </c>
      <c r="C52" s="69" t="s">
        <v>90</v>
      </c>
      <c r="D52" s="76" t="s">
        <v>91</v>
      </c>
      <c r="E52" s="8" t="s">
        <v>86</v>
      </c>
      <c r="F52" s="58"/>
      <c r="G52" s="58"/>
      <c r="H52" s="58"/>
      <c r="I52" s="68"/>
      <c r="J52" s="68"/>
      <c r="K52" s="59"/>
    </row>
    <row r="53" spans="1:11" x14ac:dyDescent="0.25">
      <c r="A53" s="17">
        <v>0</v>
      </c>
      <c r="B53" s="74">
        <f>$N$15</f>
        <v>0.36979310989811492</v>
      </c>
      <c r="C53" s="62">
        <f>B53*$S$4*365*$S$3</f>
        <v>539.89794045124779</v>
      </c>
      <c r="D53" s="70">
        <f>S6</f>
        <v>1.2</v>
      </c>
      <c r="E53" s="71">
        <f>C53*D53</f>
        <v>647.87752854149733</v>
      </c>
      <c r="F53" s="58"/>
      <c r="G53" s="58"/>
      <c r="H53" s="58"/>
      <c r="I53" s="68"/>
      <c r="J53" s="68"/>
      <c r="K53" s="59"/>
    </row>
    <row r="54" spans="1:11" x14ac:dyDescent="0.25">
      <c r="A54" s="17">
        <v>1</v>
      </c>
      <c r="B54" s="74">
        <f t="shared" ref="B54:B78" si="4">$N$15</f>
        <v>0.36979310989811492</v>
      </c>
      <c r="C54" s="62">
        <f t="shared" ref="C54:C78" si="5">B54*$S$4*365*$S$3</f>
        <v>539.89794045124779</v>
      </c>
      <c r="D54" s="70">
        <f>D53+D53*$S$5</f>
        <v>1.296</v>
      </c>
      <c r="E54" s="71">
        <f t="shared" ref="E54:E78" si="6">C54*D54</f>
        <v>699.70773082481719</v>
      </c>
      <c r="F54" s="58"/>
      <c r="G54" s="58"/>
      <c r="H54" s="58"/>
      <c r="I54" s="68"/>
      <c r="J54" s="68"/>
      <c r="K54" s="59"/>
    </row>
    <row r="55" spans="1:11" x14ac:dyDescent="0.25">
      <c r="A55" s="17">
        <v>2</v>
      </c>
      <c r="B55" s="74">
        <f t="shared" si="4"/>
        <v>0.36979310989811492</v>
      </c>
      <c r="C55" s="62">
        <f t="shared" si="5"/>
        <v>539.89794045124779</v>
      </c>
      <c r="D55" s="70">
        <f>D54+D54*$S$5</f>
        <v>1.39968</v>
      </c>
      <c r="E55" s="71">
        <f t="shared" si="6"/>
        <v>755.68434929080252</v>
      </c>
      <c r="F55" s="58"/>
      <c r="G55" s="58"/>
      <c r="H55" s="58"/>
      <c r="I55" s="68"/>
      <c r="J55" s="68"/>
      <c r="K55" s="59"/>
    </row>
    <row r="56" spans="1:11" x14ac:dyDescent="0.25">
      <c r="A56" s="17">
        <v>3</v>
      </c>
      <c r="B56" s="74">
        <f t="shared" si="4"/>
        <v>0.36979310989811492</v>
      </c>
      <c r="C56" s="62">
        <f t="shared" si="5"/>
        <v>539.89794045124779</v>
      </c>
      <c r="D56" s="70">
        <f t="shared" ref="D56:D78" si="7">D55+D55*$S$5</f>
        <v>1.5116544000000001</v>
      </c>
      <c r="E56" s="71">
        <f t="shared" si="6"/>
        <v>816.13909723406675</v>
      </c>
      <c r="F56" s="58"/>
      <c r="G56" s="58"/>
      <c r="H56" s="58"/>
      <c r="I56" s="68"/>
      <c r="J56" s="68"/>
      <c r="K56" s="59"/>
    </row>
    <row r="57" spans="1:11" x14ac:dyDescent="0.25">
      <c r="A57" s="17">
        <v>4</v>
      </c>
      <c r="B57" s="74">
        <f t="shared" si="4"/>
        <v>0.36979310989811492</v>
      </c>
      <c r="C57" s="62">
        <f t="shared" si="5"/>
        <v>539.89794045124779</v>
      </c>
      <c r="D57" s="70">
        <f t="shared" si="7"/>
        <v>1.6325867520000001</v>
      </c>
      <c r="E57" s="71">
        <f t="shared" si="6"/>
        <v>881.43022501279211</v>
      </c>
      <c r="F57" s="58"/>
      <c r="G57" s="58"/>
      <c r="H57" s="58"/>
      <c r="I57" s="68"/>
      <c r="J57" s="68"/>
      <c r="K57" s="59"/>
    </row>
    <row r="58" spans="1:11" x14ac:dyDescent="0.25">
      <c r="A58" s="17">
        <v>5</v>
      </c>
      <c r="B58" s="74">
        <f t="shared" si="4"/>
        <v>0.36979310989811492</v>
      </c>
      <c r="C58" s="62">
        <f t="shared" si="5"/>
        <v>539.89794045124779</v>
      </c>
      <c r="D58" s="70">
        <f t="shared" si="7"/>
        <v>1.7631936921600002</v>
      </c>
      <c r="E58" s="71">
        <f t="shared" si="6"/>
        <v>951.94464301381549</v>
      </c>
      <c r="F58" s="58"/>
      <c r="G58" s="58"/>
      <c r="H58" s="58"/>
      <c r="I58" s="68"/>
      <c r="J58" s="68"/>
      <c r="K58" s="59"/>
    </row>
    <row r="59" spans="1:11" x14ac:dyDescent="0.25">
      <c r="A59" s="17">
        <v>6</v>
      </c>
      <c r="B59" s="74">
        <f t="shared" si="4"/>
        <v>0.36979310989811492</v>
      </c>
      <c r="C59" s="62">
        <f t="shared" si="5"/>
        <v>539.89794045124779</v>
      </c>
      <c r="D59" s="70">
        <f t="shared" si="7"/>
        <v>1.9042491875328003</v>
      </c>
      <c r="E59" s="71">
        <f t="shared" si="6"/>
        <v>1028.1002144549209</v>
      </c>
      <c r="F59" s="58"/>
      <c r="G59" s="58"/>
      <c r="H59" s="58"/>
      <c r="I59" s="68"/>
      <c r="J59" s="68"/>
      <c r="K59" s="59"/>
    </row>
    <row r="60" spans="1:11" x14ac:dyDescent="0.25">
      <c r="A60" s="17">
        <v>7</v>
      </c>
      <c r="B60" s="74">
        <f t="shared" si="4"/>
        <v>0.36979310989811492</v>
      </c>
      <c r="C60" s="62">
        <f t="shared" si="5"/>
        <v>539.89794045124779</v>
      </c>
      <c r="D60" s="70">
        <f t="shared" si="7"/>
        <v>2.0565891225354243</v>
      </c>
      <c r="E60" s="71">
        <f t="shared" si="6"/>
        <v>1110.3482316113145</v>
      </c>
      <c r="F60" s="58"/>
      <c r="G60" s="58"/>
      <c r="H60" s="58"/>
      <c r="I60" s="68"/>
      <c r="J60" s="68"/>
      <c r="K60" s="59"/>
    </row>
    <row r="61" spans="1:11" x14ac:dyDescent="0.25">
      <c r="A61" s="17">
        <v>8</v>
      </c>
      <c r="B61" s="74">
        <f t="shared" si="4"/>
        <v>0.36979310989811492</v>
      </c>
      <c r="C61" s="62">
        <f t="shared" si="5"/>
        <v>539.89794045124779</v>
      </c>
      <c r="D61" s="70">
        <f t="shared" si="7"/>
        <v>2.2211162523382582</v>
      </c>
      <c r="E61" s="71">
        <f t="shared" si="6"/>
        <v>1199.1760901402195</v>
      </c>
      <c r="F61" s="58"/>
      <c r="G61" s="58"/>
      <c r="H61" s="58"/>
      <c r="I61" s="68"/>
      <c r="J61" s="68"/>
      <c r="K61" s="59"/>
    </row>
    <row r="62" spans="1:11" x14ac:dyDescent="0.25">
      <c r="A62" s="17">
        <v>9</v>
      </c>
      <c r="B62" s="74">
        <f t="shared" si="4"/>
        <v>0.36979310989811492</v>
      </c>
      <c r="C62" s="62">
        <f t="shared" si="5"/>
        <v>539.89794045124779</v>
      </c>
      <c r="D62" s="70">
        <f t="shared" si="7"/>
        <v>2.3988055525253187</v>
      </c>
      <c r="E62" s="71">
        <f t="shared" si="6"/>
        <v>1295.110177351437</v>
      </c>
      <c r="F62" s="58"/>
      <c r="G62" s="58"/>
      <c r="H62" s="58"/>
      <c r="I62" s="68"/>
      <c r="J62" s="68"/>
      <c r="K62" s="59"/>
    </row>
    <row r="63" spans="1:11" x14ac:dyDescent="0.25">
      <c r="A63" s="17">
        <v>10</v>
      </c>
      <c r="B63" s="74">
        <f t="shared" si="4"/>
        <v>0.36979310989811492</v>
      </c>
      <c r="C63" s="62">
        <f t="shared" si="5"/>
        <v>539.89794045124779</v>
      </c>
      <c r="D63" s="70">
        <f t="shared" si="7"/>
        <v>2.5907099967273441</v>
      </c>
      <c r="E63" s="71">
        <f t="shared" si="6"/>
        <v>1398.718991539552</v>
      </c>
      <c r="F63" s="58"/>
      <c r="G63" s="58"/>
      <c r="H63" s="58"/>
      <c r="I63" s="68"/>
      <c r="J63" s="68"/>
      <c r="K63" s="59"/>
    </row>
    <row r="64" spans="1:11" x14ac:dyDescent="0.25">
      <c r="A64" s="17">
        <v>11</v>
      </c>
      <c r="B64" s="74">
        <f t="shared" si="4"/>
        <v>0.36979310989811492</v>
      </c>
      <c r="C64" s="62">
        <f t="shared" si="5"/>
        <v>539.89794045124779</v>
      </c>
      <c r="D64" s="70">
        <f t="shared" si="7"/>
        <v>2.7979667964655315</v>
      </c>
      <c r="E64" s="71">
        <f t="shared" si="6"/>
        <v>1510.616510862716</v>
      </c>
      <c r="F64" s="58"/>
      <c r="G64" s="58"/>
      <c r="H64" s="58"/>
      <c r="I64" s="68"/>
      <c r="J64" s="68"/>
      <c r="K64" s="59"/>
    </row>
    <row r="65" spans="1:11" x14ac:dyDescent="0.25">
      <c r="A65" s="17">
        <v>12</v>
      </c>
      <c r="B65" s="74">
        <f t="shared" si="4"/>
        <v>0.36979310989811492</v>
      </c>
      <c r="C65" s="62">
        <f t="shared" si="5"/>
        <v>539.89794045124779</v>
      </c>
      <c r="D65" s="70">
        <f t="shared" si="7"/>
        <v>3.0218041401827742</v>
      </c>
      <c r="E65" s="71">
        <f t="shared" si="6"/>
        <v>1631.4658317317335</v>
      </c>
      <c r="F65" s="58"/>
      <c r="G65" s="58"/>
      <c r="H65" s="58"/>
      <c r="I65" s="68"/>
      <c r="J65" s="68"/>
      <c r="K65" s="59"/>
    </row>
    <row r="66" spans="1:11" x14ac:dyDescent="0.25">
      <c r="A66" s="17">
        <v>13</v>
      </c>
      <c r="B66" s="74">
        <f t="shared" si="4"/>
        <v>0.36979310989811492</v>
      </c>
      <c r="C66" s="62">
        <f t="shared" si="5"/>
        <v>539.89794045124779</v>
      </c>
      <c r="D66" s="70">
        <f t="shared" si="7"/>
        <v>3.2635484713973963</v>
      </c>
      <c r="E66" s="71">
        <f t="shared" si="6"/>
        <v>1761.9830982702722</v>
      </c>
      <c r="F66" s="58"/>
      <c r="G66" s="58"/>
      <c r="H66" s="58"/>
      <c r="I66" s="68"/>
      <c r="J66" s="68"/>
      <c r="K66" s="59"/>
    </row>
    <row r="67" spans="1:11" x14ac:dyDescent="0.25">
      <c r="A67" s="17">
        <v>14</v>
      </c>
      <c r="B67" s="74">
        <f t="shared" si="4"/>
        <v>0.36979310989811492</v>
      </c>
      <c r="C67" s="62">
        <f t="shared" si="5"/>
        <v>539.89794045124779</v>
      </c>
      <c r="D67" s="70">
        <f t="shared" si="7"/>
        <v>3.5246323491091882</v>
      </c>
      <c r="E67" s="71">
        <f t="shared" si="6"/>
        <v>1902.9417461318942</v>
      </c>
      <c r="F67" s="58"/>
      <c r="G67" s="58"/>
      <c r="H67" s="58"/>
      <c r="I67" s="68"/>
      <c r="J67" s="68"/>
      <c r="K67" s="59"/>
    </row>
    <row r="68" spans="1:11" x14ac:dyDescent="0.25">
      <c r="A68" s="17">
        <v>15</v>
      </c>
      <c r="B68" s="74">
        <f t="shared" si="4"/>
        <v>0.36979310989811492</v>
      </c>
      <c r="C68" s="62">
        <f t="shared" si="5"/>
        <v>539.89794045124779</v>
      </c>
      <c r="D68" s="70">
        <f t="shared" si="7"/>
        <v>3.8066029370379235</v>
      </c>
      <c r="E68" s="71">
        <f t="shared" si="6"/>
        <v>2055.1770858224459</v>
      </c>
      <c r="F68" s="58"/>
      <c r="G68" s="58"/>
      <c r="H68" s="58"/>
      <c r="I68" s="68"/>
      <c r="J68" s="68"/>
      <c r="K68" s="59"/>
    </row>
    <row r="69" spans="1:11" x14ac:dyDescent="0.25">
      <c r="A69" s="17">
        <v>16</v>
      </c>
      <c r="B69" s="74">
        <f t="shared" si="4"/>
        <v>0.36979310989811492</v>
      </c>
      <c r="C69" s="62">
        <f t="shared" si="5"/>
        <v>539.89794045124779</v>
      </c>
      <c r="D69" s="70">
        <f t="shared" si="7"/>
        <v>4.1111311720009578</v>
      </c>
      <c r="E69" s="71">
        <f t="shared" si="6"/>
        <v>2219.5912526882416</v>
      </c>
      <c r="F69" s="58"/>
      <c r="G69" s="58"/>
      <c r="H69" s="58"/>
      <c r="I69" s="68"/>
      <c r="J69" s="68"/>
      <c r="K69" s="59"/>
    </row>
    <row r="70" spans="1:11" x14ac:dyDescent="0.25">
      <c r="A70" s="17">
        <v>17</v>
      </c>
      <c r="B70" s="74">
        <f t="shared" si="4"/>
        <v>0.36979310989811492</v>
      </c>
      <c r="C70" s="62">
        <f t="shared" si="5"/>
        <v>539.89794045124779</v>
      </c>
      <c r="D70" s="70">
        <f t="shared" si="7"/>
        <v>4.4400216657610345</v>
      </c>
      <c r="E70" s="71">
        <f t="shared" si="6"/>
        <v>2397.1585529033009</v>
      </c>
      <c r="F70" s="58"/>
      <c r="G70" s="58"/>
      <c r="H70" s="58"/>
      <c r="I70" s="68"/>
      <c r="J70" s="68"/>
      <c r="K70" s="59"/>
    </row>
    <row r="71" spans="1:11" x14ac:dyDescent="0.25">
      <c r="A71" s="17">
        <v>18</v>
      </c>
      <c r="B71" s="74">
        <f t="shared" si="4"/>
        <v>0.36979310989811492</v>
      </c>
      <c r="C71" s="62">
        <f t="shared" si="5"/>
        <v>539.89794045124779</v>
      </c>
      <c r="D71" s="70">
        <f t="shared" si="7"/>
        <v>4.7952233990219177</v>
      </c>
      <c r="E71" s="71">
        <f t="shared" si="6"/>
        <v>2588.9312371355654</v>
      </c>
      <c r="F71" s="58"/>
      <c r="G71" s="58"/>
      <c r="H71" s="58"/>
      <c r="I71" s="68"/>
      <c r="J71" s="68"/>
      <c r="K71" s="59"/>
    </row>
    <row r="72" spans="1:11" x14ac:dyDescent="0.25">
      <c r="A72" s="17">
        <v>19</v>
      </c>
      <c r="B72" s="74">
        <f t="shared" si="4"/>
        <v>0.36979310989811492</v>
      </c>
      <c r="C72" s="62">
        <f t="shared" si="5"/>
        <v>539.89794045124779</v>
      </c>
      <c r="D72" s="70">
        <f t="shared" si="7"/>
        <v>5.1788412709436713</v>
      </c>
      <c r="E72" s="71">
        <f t="shared" si="6"/>
        <v>2796.0457361064105</v>
      </c>
      <c r="F72" s="58"/>
      <c r="G72" s="58"/>
      <c r="H72" s="58"/>
      <c r="I72" s="68"/>
      <c r="J72" s="68"/>
      <c r="K72" s="59"/>
    </row>
    <row r="73" spans="1:11" x14ac:dyDescent="0.25">
      <c r="A73" s="17">
        <v>20</v>
      </c>
      <c r="B73" s="74">
        <f t="shared" si="4"/>
        <v>0.36979310989811492</v>
      </c>
      <c r="C73" s="62">
        <f t="shared" si="5"/>
        <v>539.89794045124779</v>
      </c>
      <c r="D73" s="70">
        <f t="shared" si="7"/>
        <v>5.5931485726191648</v>
      </c>
      <c r="E73" s="71">
        <f t="shared" si="6"/>
        <v>3019.7293949949235</v>
      </c>
      <c r="F73" s="58"/>
      <c r="G73" s="58"/>
      <c r="H73" s="58"/>
      <c r="I73" s="68"/>
      <c r="J73" s="68"/>
      <c r="K73" s="59"/>
    </row>
    <row r="74" spans="1:11" x14ac:dyDescent="0.25">
      <c r="A74" s="17">
        <v>21</v>
      </c>
      <c r="B74" s="74">
        <f t="shared" si="4"/>
        <v>0.36979310989811492</v>
      </c>
      <c r="C74" s="62">
        <f t="shared" si="5"/>
        <v>539.89794045124779</v>
      </c>
      <c r="D74" s="70">
        <f t="shared" si="7"/>
        <v>6.0406004584286981</v>
      </c>
      <c r="E74" s="71">
        <f t="shared" si="6"/>
        <v>3261.3077465945175</v>
      </c>
      <c r="F74" s="58"/>
      <c r="G74" s="58"/>
      <c r="H74" s="58"/>
      <c r="I74" s="68"/>
      <c r="J74" s="68"/>
      <c r="K74" s="59"/>
    </row>
    <row r="75" spans="1:11" x14ac:dyDescent="0.25">
      <c r="A75" s="17">
        <v>22</v>
      </c>
      <c r="B75" s="74">
        <f t="shared" si="4"/>
        <v>0.36979310989811492</v>
      </c>
      <c r="C75" s="62">
        <f t="shared" si="5"/>
        <v>539.89794045124779</v>
      </c>
      <c r="D75" s="70">
        <f t="shared" si="7"/>
        <v>6.5238484951029942</v>
      </c>
      <c r="E75" s="71">
        <f t="shared" si="6"/>
        <v>3522.2123663220791</v>
      </c>
      <c r="F75" s="58"/>
      <c r="G75" s="58"/>
      <c r="H75" s="58"/>
      <c r="I75" s="68"/>
      <c r="J75" s="68"/>
      <c r="K75" s="59"/>
    </row>
    <row r="76" spans="1:11" x14ac:dyDescent="0.25">
      <c r="A76" s="17">
        <v>23</v>
      </c>
      <c r="B76" s="74">
        <f t="shared" si="4"/>
        <v>0.36979310989811492</v>
      </c>
      <c r="C76" s="62">
        <f t="shared" si="5"/>
        <v>539.89794045124779</v>
      </c>
      <c r="D76" s="70">
        <f t="shared" si="7"/>
        <v>7.0457563747112335</v>
      </c>
      <c r="E76" s="71">
        <f t="shared" si="6"/>
        <v>3803.9893556278453</v>
      </c>
      <c r="F76" s="58"/>
      <c r="G76" s="58"/>
      <c r="H76" s="58"/>
      <c r="I76" s="68"/>
      <c r="J76" s="68"/>
      <c r="K76" s="59"/>
    </row>
    <row r="77" spans="1:11" x14ac:dyDescent="0.25">
      <c r="A77" s="17">
        <v>24</v>
      </c>
      <c r="B77" s="74">
        <f t="shared" si="4"/>
        <v>0.36979310989811492</v>
      </c>
      <c r="C77" s="62">
        <f t="shared" si="5"/>
        <v>539.89794045124779</v>
      </c>
      <c r="D77" s="70">
        <f t="shared" si="7"/>
        <v>7.609416884688132</v>
      </c>
      <c r="E77" s="71">
        <f t="shared" si="6"/>
        <v>4108.3085040780725</v>
      </c>
      <c r="F77" s="58"/>
      <c r="G77" s="58"/>
      <c r="H77" s="58"/>
      <c r="I77" s="68"/>
      <c r="J77" s="68"/>
      <c r="K77" s="59"/>
    </row>
    <row r="78" spans="1:11" ht="15.75" thickBot="1" x14ac:dyDescent="0.3">
      <c r="A78" s="18">
        <v>25</v>
      </c>
      <c r="B78" s="75">
        <f t="shared" si="4"/>
        <v>0.36979310989811492</v>
      </c>
      <c r="C78" s="19">
        <f t="shared" si="5"/>
        <v>539.89794045124779</v>
      </c>
      <c r="D78" s="72">
        <f t="shared" si="7"/>
        <v>8.218170235463182</v>
      </c>
      <c r="E78" s="73">
        <f t="shared" si="6"/>
        <v>4436.9731844043181</v>
      </c>
      <c r="F78" s="58"/>
      <c r="G78" s="58"/>
      <c r="H78" s="58"/>
      <c r="I78" s="68"/>
      <c r="J78" s="68"/>
      <c r="K78" s="59"/>
    </row>
    <row r="79" spans="1:11" x14ac:dyDescent="0.25">
      <c r="A79" s="59"/>
      <c r="B79" s="58"/>
      <c r="C79" s="58"/>
      <c r="D79" s="59"/>
      <c r="E79" s="58"/>
      <c r="F79" s="58"/>
      <c r="G79" s="58"/>
      <c r="H79" s="58"/>
      <c r="I79" s="68"/>
      <c r="J79" s="68"/>
      <c r="K79" s="59"/>
    </row>
    <row r="80" spans="1:11" x14ac:dyDescent="0.25">
      <c r="A80" s="59"/>
      <c r="B80" s="58"/>
      <c r="C80" s="58"/>
      <c r="D80" s="59"/>
      <c r="E80" s="58"/>
      <c r="F80" s="58"/>
      <c r="G80" s="58"/>
      <c r="H80" s="58"/>
      <c r="I80" s="68"/>
      <c r="J80" s="68"/>
      <c r="K80" s="59"/>
    </row>
    <row r="81" spans="1:11" x14ac:dyDescent="0.25">
      <c r="A81" s="59"/>
      <c r="B81" s="58"/>
      <c r="C81" s="58"/>
      <c r="D81" s="59"/>
      <c r="E81" s="58"/>
      <c r="F81" s="58"/>
      <c r="G81" s="58"/>
      <c r="H81" s="58"/>
      <c r="I81" s="68"/>
      <c r="J81" s="68"/>
      <c r="K81" s="59"/>
    </row>
    <row r="82" spans="1:11" x14ac:dyDescent="0.25">
      <c r="A82" s="59"/>
      <c r="B82" s="58"/>
      <c r="C82" s="58"/>
      <c r="D82" s="59"/>
      <c r="E82" s="58"/>
      <c r="F82" s="58"/>
      <c r="G82" s="58"/>
      <c r="H82" s="58"/>
      <c r="I82" s="68"/>
      <c r="J82" s="68"/>
      <c r="K82" s="59"/>
    </row>
    <row r="83" spans="1:11" x14ac:dyDescent="0.25">
      <c r="A83" s="59"/>
      <c r="B83" s="58"/>
      <c r="C83" s="58"/>
      <c r="D83" s="59"/>
      <c r="E83" s="58"/>
      <c r="F83" s="58"/>
      <c r="G83" s="58"/>
      <c r="H83" s="58"/>
      <c r="I83" s="68"/>
      <c r="J83" s="68"/>
      <c r="K83" s="59"/>
    </row>
    <row r="84" spans="1:11" x14ac:dyDescent="0.25">
      <c r="A84" s="59"/>
      <c r="B84" s="58"/>
      <c r="C84" s="58"/>
      <c r="D84" s="59"/>
      <c r="E84" s="58"/>
      <c r="F84" s="58"/>
      <c r="G84" s="58"/>
      <c r="H84" s="58"/>
      <c r="I84" s="68"/>
      <c r="J84" s="68"/>
      <c r="K84" s="59"/>
    </row>
    <row r="85" spans="1:11" x14ac:dyDescent="0.25">
      <c r="A85" s="59"/>
      <c r="B85" s="58"/>
      <c r="C85" s="58"/>
      <c r="D85" s="59"/>
      <c r="E85" s="58"/>
      <c r="F85" s="58"/>
      <c r="G85" s="58"/>
      <c r="H85" s="58"/>
      <c r="I85" s="68"/>
      <c r="J85" s="68"/>
      <c r="K85" s="59"/>
    </row>
    <row r="86" spans="1:11" x14ac:dyDescent="0.25">
      <c r="A86" s="59"/>
      <c r="B86" s="58"/>
      <c r="C86" s="58"/>
      <c r="D86" s="59"/>
      <c r="E86" s="58"/>
      <c r="F86" s="58"/>
      <c r="G86" s="58"/>
      <c r="H86" s="58"/>
      <c r="I86" s="68"/>
      <c r="J86" s="68"/>
      <c r="K86" s="59"/>
    </row>
    <row r="87" spans="1:11" x14ac:dyDescent="0.25">
      <c r="A87" s="59"/>
      <c r="B87" s="58"/>
      <c r="C87" s="58"/>
      <c r="D87" s="59"/>
      <c r="E87" s="58"/>
      <c r="F87" s="58"/>
      <c r="G87" s="58"/>
      <c r="H87" s="58"/>
      <c r="I87" s="68"/>
      <c r="J87" s="68"/>
      <c r="K87" s="59"/>
    </row>
    <row r="88" spans="1:11" x14ac:dyDescent="0.25">
      <c r="A88" s="59"/>
      <c r="B88" s="58"/>
      <c r="C88" s="58"/>
      <c r="D88" s="59"/>
      <c r="E88" s="58"/>
      <c r="F88" s="58"/>
      <c r="G88" s="58"/>
      <c r="H88" s="58"/>
      <c r="I88" s="68"/>
      <c r="J88" s="68"/>
      <c r="K88" s="59"/>
    </row>
    <row r="89" spans="1:11" x14ac:dyDescent="0.25">
      <c r="A89" s="59"/>
      <c r="B89" s="58"/>
      <c r="C89" s="58"/>
      <c r="D89" s="59"/>
      <c r="E89" s="58"/>
      <c r="F89" s="58"/>
      <c r="G89" s="58"/>
      <c r="H89" s="58"/>
      <c r="I89" s="68"/>
      <c r="J89" s="68"/>
      <c r="K89" s="59"/>
    </row>
    <row r="90" spans="1:11" x14ac:dyDescent="0.25">
      <c r="A90" s="59"/>
      <c r="B90" s="58"/>
      <c r="C90" s="58"/>
      <c r="D90" s="59"/>
      <c r="E90" s="58"/>
      <c r="F90" s="58"/>
      <c r="G90" s="58"/>
      <c r="H90" s="58"/>
      <c r="I90" s="68"/>
      <c r="J90" s="68"/>
      <c r="K90" s="59"/>
    </row>
    <row r="91" spans="1:11" x14ac:dyDescent="0.25">
      <c r="A91" s="59"/>
      <c r="B91" s="58"/>
      <c r="C91" s="58"/>
      <c r="D91" s="59"/>
      <c r="E91" s="58"/>
      <c r="F91" s="58"/>
      <c r="G91" s="58"/>
      <c r="H91" s="58"/>
      <c r="I91" s="68"/>
      <c r="J91" s="68"/>
      <c r="K91" s="59"/>
    </row>
    <row r="92" spans="1:11" x14ac:dyDescent="0.25">
      <c r="A92" s="59"/>
      <c r="B92" s="58"/>
      <c r="C92" s="58"/>
      <c r="D92" s="59"/>
      <c r="E92" s="58"/>
      <c r="F92" s="58"/>
      <c r="G92" s="58"/>
      <c r="H92" s="58"/>
      <c r="I92" s="68"/>
      <c r="J92" s="68"/>
      <c r="K92" s="59"/>
    </row>
    <row r="93" spans="1:11" x14ac:dyDescent="0.25">
      <c r="A93" s="59"/>
      <c r="B93" s="58"/>
      <c r="C93" s="58"/>
      <c r="D93" s="59"/>
      <c r="E93" s="58"/>
      <c r="F93" s="58"/>
      <c r="G93" s="58"/>
      <c r="H93" s="58"/>
      <c r="I93" s="68"/>
      <c r="J93" s="68"/>
      <c r="K93" s="59"/>
    </row>
    <row r="94" spans="1:11" x14ac:dyDescent="0.25">
      <c r="A94" s="59"/>
      <c r="B94" s="58"/>
      <c r="C94" s="58"/>
      <c r="D94" s="59"/>
      <c r="E94" s="58"/>
      <c r="F94" s="58"/>
      <c r="G94" s="58"/>
      <c r="H94" s="58"/>
      <c r="I94" s="68"/>
      <c r="J94" s="68"/>
      <c r="K94" s="59"/>
    </row>
    <row r="95" spans="1:11" x14ac:dyDescent="0.25">
      <c r="A95" s="59"/>
      <c r="B95" s="58"/>
      <c r="C95" s="58"/>
      <c r="D95" s="59"/>
      <c r="E95" s="58"/>
      <c r="F95" s="58"/>
      <c r="G95" s="58"/>
      <c r="H95" s="58"/>
      <c r="I95" s="68"/>
      <c r="J95" s="68"/>
      <c r="K95" s="59"/>
    </row>
    <row r="96" spans="1:11" x14ac:dyDescent="0.25">
      <c r="A96" s="59"/>
      <c r="B96" s="58"/>
      <c r="C96" s="58"/>
      <c r="D96" s="59"/>
      <c r="E96" s="58"/>
      <c r="F96" s="58"/>
      <c r="G96" s="58"/>
      <c r="H96" s="58"/>
      <c r="I96" s="68"/>
      <c r="J96" s="68"/>
      <c r="K96" s="59"/>
    </row>
    <row r="97" spans="1:11" x14ac:dyDescent="0.25">
      <c r="A97" s="59"/>
      <c r="B97" s="58"/>
      <c r="C97" s="58"/>
      <c r="D97" s="59"/>
      <c r="E97" s="58"/>
      <c r="F97" s="58"/>
      <c r="G97" s="58"/>
      <c r="H97" s="58"/>
      <c r="I97" s="68"/>
      <c r="J97" s="68"/>
      <c r="K97" s="59"/>
    </row>
    <row r="98" spans="1:11" x14ac:dyDescent="0.25">
      <c r="A98" s="59"/>
      <c r="B98" s="58"/>
      <c r="C98" s="58"/>
      <c r="D98" s="59"/>
      <c r="E98" s="58"/>
      <c r="F98" s="58"/>
      <c r="G98" s="58"/>
      <c r="H98" s="58"/>
      <c r="I98" s="68"/>
      <c r="J98" s="68"/>
      <c r="K98" s="59"/>
    </row>
    <row r="99" spans="1:11" x14ac:dyDescent="0.25">
      <c r="A99" s="59"/>
      <c r="B99" s="58"/>
      <c r="C99" s="58"/>
      <c r="D99" s="59"/>
      <c r="E99" s="58"/>
      <c r="F99" s="58"/>
      <c r="G99" s="58"/>
      <c r="H99" s="58"/>
      <c r="I99" s="68"/>
      <c r="J99" s="68"/>
      <c r="K99" s="59"/>
    </row>
    <row r="100" spans="1:11" x14ac:dyDescent="0.25">
      <c r="A100" s="59"/>
      <c r="B100" s="58"/>
      <c r="C100" s="58"/>
      <c r="D100" s="59"/>
      <c r="E100" s="58"/>
      <c r="F100" s="58"/>
      <c r="G100" s="58"/>
      <c r="H100" s="58"/>
      <c r="I100" s="68"/>
      <c r="J100" s="68"/>
      <c r="K100" s="59"/>
    </row>
    <row r="101" spans="1:11" x14ac:dyDescent="0.25">
      <c r="A101" s="59"/>
      <c r="B101" s="58"/>
      <c r="C101" s="58"/>
      <c r="D101" s="59"/>
      <c r="E101" s="58"/>
      <c r="F101" s="58"/>
      <c r="G101" s="58"/>
      <c r="H101" s="58"/>
      <c r="I101" s="68"/>
      <c r="J101" s="68"/>
      <c r="K101" s="59"/>
    </row>
    <row r="102" spans="1:11" x14ac:dyDescent="0.25">
      <c r="A102" s="59"/>
      <c r="B102" s="58"/>
      <c r="C102" s="58"/>
      <c r="D102" s="59"/>
      <c r="E102" s="58"/>
      <c r="F102" s="58"/>
      <c r="G102" s="58"/>
      <c r="H102" s="58"/>
      <c r="I102" s="68"/>
      <c r="J102" s="68"/>
      <c r="K102" s="59"/>
    </row>
    <row r="103" spans="1:11" x14ac:dyDescent="0.25">
      <c r="A103" s="59"/>
      <c r="B103" s="58"/>
      <c r="C103" s="58"/>
      <c r="D103" s="59"/>
      <c r="E103" s="58"/>
      <c r="F103" s="58"/>
      <c r="G103" s="58"/>
      <c r="H103" s="58"/>
      <c r="I103" s="68"/>
      <c r="J103" s="68"/>
      <c r="K103" s="59"/>
    </row>
    <row r="104" spans="1:11" x14ac:dyDescent="0.25">
      <c r="A104" s="59"/>
      <c r="B104" s="58"/>
      <c r="C104" s="58"/>
      <c r="D104" s="59"/>
      <c r="E104" s="58"/>
      <c r="F104" s="58"/>
      <c r="G104" s="58"/>
      <c r="H104" s="58"/>
      <c r="I104" s="68"/>
      <c r="J104" s="68"/>
      <c r="K104" s="59"/>
    </row>
    <row r="105" spans="1:11" x14ac:dyDescent="0.25">
      <c r="A105" s="59"/>
      <c r="B105" s="58"/>
      <c r="C105" s="58"/>
      <c r="D105" s="59"/>
      <c r="E105" s="58"/>
      <c r="F105" s="58"/>
      <c r="G105" s="58"/>
      <c r="H105" s="58"/>
      <c r="I105" s="68"/>
      <c r="J105" s="68"/>
      <c r="K105" s="59"/>
    </row>
    <row r="106" spans="1:11" x14ac:dyDescent="0.25">
      <c r="A106" s="59"/>
      <c r="B106" s="58"/>
      <c r="C106" s="58"/>
      <c r="D106" s="59"/>
      <c r="E106" s="58"/>
      <c r="F106" s="58"/>
      <c r="G106" s="58"/>
      <c r="H106" s="58"/>
      <c r="I106" s="68"/>
      <c r="J106" s="68"/>
      <c r="K106" s="59"/>
    </row>
    <row r="107" spans="1:11" x14ac:dyDescent="0.25">
      <c r="A107" s="59"/>
      <c r="B107" s="58"/>
      <c r="C107" s="58"/>
      <c r="D107" s="59"/>
      <c r="E107" s="58"/>
      <c r="F107" s="58"/>
      <c r="G107" s="58"/>
      <c r="H107" s="58"/>
      <c r="I107" s="68"/>
      <c r="J107" s="68"/>
      <c r="K107" s="59"/>
    </row>
    <row r="108" spans="1:11" x14ac:dyDescent="0.25">
      <c r="A108" s="59"/>
      <c r="B108" s="58"/>
      <c r="C108" s="58"/>
      <c r="D108" s="59"/>
      <c r="E108" s="58"/>
      <c r="F108" s="58"/>
      <c r="G108" s="58"/>
      <c r="H108" s="58"/>
      <c r="I108" s="68"/>
      <c r="J108" s="68"/>
      <c r="K108" s="59"/>
    </row>
    <row r="109" spans="1:11" x14ac:dyDescent="0.25">
      <c r="A109" s="59"/>
      <c r="B109" s="58"/>
      <c r="C109" s="58"/>
      <c r="D109" s="59"/>
      <c r="E109" s="58"/>
      <c r="F109" s="58"/>
      <c r="G109" s="58"/>
      <c r="H109" s="58"/>
      <c r="I109" s="68"/>
      <c r="J109" s="68"/>
      <c r="K109" s="59"/>
    </row>
    <row r="110" spans="1:11" x14ac:dyDescent="0.25">
      <c r="A110" s="59"/>
      <c r="B110" s="58"/>
      <c r="C110" s="58"/>
      <c r="D110" s="59"/>
      <c r="E110" s="58"/>
      <c r="F110" s="58"/>
      <c r="G110" s="58"/>
      <c r="H110" s="58"/>
      <c r="I110" s="68"/>
      <c r="J110" s="68"/>
      <c r="K110" s="59"/>
    </row>
    <row r="111" spans="1:11" x14ac:dyDescent="0.25">
      <c r="A111" s="59"/>
      <c r="B111" s="58"/>
      <c r="C111" s="58"/>
      <c r="D111" s="59"/>
      <c r="E111" s="58"/>
      <c r="F111" s="58"/>
      <c r="G111" s="58"/>
      <c r="H111" s="58"/>
      <c r="I111" s="68"/>
      <c r="J111" s="68"/>
      <c r="K111" s="59"/>
    </row>
    <row r="112" spans="1:11" x14ac:dyDescent="0.25">
      <c r="A112" s="59"/>
      <c r="B112" s="58"/>
      <c r="C112" s="58"/>
      <c r="D112" s="59"/>
      <c r="E112" s="58"/>
      <c r="F112" s="58"/>
      <c r="G112" s="58"/>
      <c r="H112" s="58"/>
      <c r="I112" s="68"/>
      <c r="J112" s="68"/>
      <c r="K112" s="59"/>
    </row>
    <row r="113" spans="1:11" x14ac:dyDescent="0.25">
      <c r="A113" s="59"/>
      <c r="B113" s="58"/>
      <c r="C113" s="58"/>
      <c r="D113" s="59"/>
      <c r="E113" s="58"/>
      <c r="F113" s="58"/>
      <c r="G113" s="58"/>
      <c r="H113" s="58"/>
      <c r="I113" s="68"/>
      <c r="J113" s="68"/>
      <c r="K113" s="59"/>
    </row>
    <row r="114" spans="1:11" x14ac:dyDescent="0.25">
      <c r="A114" s="59"/>
      <c r="B114" s="58"/>
      <c r="C114" s="58"/>
      <c r="D114" s="59"/>
      <c r="E114" s="58"/>
      <c r="F114" s="58"/>
      <c r="G114" s="58"/>
      <c r="H114" s="58"/>
      <c r="I114" s="68"/>
      <c r="J114" s="68"/>
      <c r="K114" s="59"/>
    </row>
    <row r="115" spans="1:11" x14ac:dyDescent="0.25">
      <c r="A115" s="59"/>
      <c r="B115" s="58"/>
      <c r="C115" s="58"/>
      <c r="D115" s="59"/>
      <c r="E115" s="58"/>
      <c r="F115" s="58"/>
      <c r="G115" s="58"/>
      <c r="H115" s="58"/>
      <c r="I115" s="68"/>
      <c r="J115" s="68"/>
      <c r="K115" s="59"/>
    </row>
    <row r="116" spans="1:11" x14ac:dyDescent="0.25">
      <c r="A116" s="59"/>
      <c r="B116" s="58"/>
      <c r="C116" s="58"/>
      <c r="D116" s="59"/>
      <c r="E116" s="58"/>
      <c r="F116" s="58"/>
      <c r="G116" s="58"/>
      <c r="H116" s="58"/>
      <c r="I116" s="68"/>
      <c r="J116" s="68"/>
      <c r="K116" s="59"/>
    </row>
    <row r="117" spans="1:11" x14ac:dyDescent="0.25">
      <c r="A117" s="59"/>
      <c r="B117" s="58"/>
      <c r="C117" s="58"/>
      <c r="D117" s="59"/>
      <c r="E117" s="58"/>
      <c r="F117" s="58"/>
      <c r="G117" s="58"/>
      <c r="H117" s="58"/>
      <c r="I117" s="68"/>
      <c r="J117" s="68"/>
      <c r="K117" s="59"/>
    </row>
    <row r="118" spans="1:11" x14ac:dyDescent="0.25">
      <c r="A118" s="59"/>
      <c r="B118" s="58"/>
      <c r="C118" s="58"/>
      <c r="D118" s="59"/>
      <c r="E118" s="58"/>
      <c r="F118" s="58"/>
      <c r="G118" s="58"/>
      <c r="H118" s="58"/>
      <c r="I118" s="68"/>
      <c r="J118" s="68"/>
      <c r="K118" s="59"/>
    </row>
    <row r="119" spans="1:11" x14ac:dyDescent="0.25">
      <c r="A119" s="59"/>
      <c r="B119" s="58"/>
      <c r="C119" s="58"/>
      <c r="D119" s="59"/>
      <c r="E119" s="58"/>
      <c r="F119" s="58"/>
      <c r="G119" s="58"/>
      <c r="H119" s="58"/>
      <c r="I119" s="68"/>
      <c r="J119" s="68"/>
      <c r="K119" s="59"/>
    </row>
    <row r="120" spans="1:11" x14ac:dyDescent="0.25">
      <c r="A120" s="59"/>
      <c r="B120" s="58"/>
      <c r="C120" s="58"/>
      <c r="D120" s="59"/>
      <c r="E120" s="58"/>
      <c r="F120" s="58"/>
      <c r="G120" s="58"/>
      <c r="H120" s="58"/>
      <c r="I120" s="68"/>
      <c r="J120" s="68"/>
      <c r="K120" s="59"/>
    </row>
    <row r="121" spans="1:11" x14ac:dyDescent="0.25">
      <c r="A121" s="59"/>
      <c r="B121" s="58"/>
      <c r="C121" s="58"/>
      <c r="D121" s="59"/>
      <c r="E121" s="58"/>
      <c r="F121" s="58"/>
      <c r="G121" s="58"/>
      <c r="H121" s="58"/>
      <c r="I121" s="68"/>
      <c r="J121" s="68"/>
      <c r="K121" s="59"/>
    </row>
    <row r="122" spans="1:11" x14ac:dyDescent="0.25">
      <c r="A122" s="59"/>
      <c r="B122" s="58"/>
      <c r="C122" s="58"/>
      <c r="D122" s="59"/>
      <c r="E122" s="58"/>
      <c r="F122" s="58"/>
      <c r="G122" s="58"/>
      <c r="H122" s="58"/>
      <c r="I122" s="68"/>
      <c r="J122" s="68"/>
      <c r="K122" s="59"/>
    </row>
  </sheetData>
  <mergeCells count="35">
    <mergeCell ref="Q14:R14"/>
    <mergeCell ref="Q11:R11"/>
    <mergeCell ref="Q5:R5"/>
    <mergeCell ref="Q2:T2"/>
    <mergeCell ref="Q3:R3"/>
    <mergeCell ref="Q4:R4"/>
    <mergeCell ref="Q8:R8"/>
    <mergeCell ref="Q7:T7"/>
    <mergeCell ref="F15:H15"/>
    <mergeCell ref="B18:G18"/>
    <mergeCell ref="B31:C31"/>
    <mergeCell ref="D31:E31"/>
    <mergeCell ref="F31:J31"/>
    <mergeCell ref="I18:K22"/>
    <mergeCell ref="I24:K29"/>
    <mergeCell ref="F14:H14"/>
    <mergeCell ref="F5:H5"/>
    <mergeCell ref="F6:H6"/>
    <mergeCell ref="L6:M6"/>
    <mergeCell ref="F7:H7"/>
    <mergeCell ref="F9:H9"/>
    <mergeCell ref="F10:H10"/>
    <mergeCell ref="L10:O10"/>
    <mergeCell ref="F11:H11"/>
    <mergeCell ref="F12:H12"/>
    <mergeCell ref="B8:D8"/>
    <mergeCell ref="F8:H8"/>
    <mergeCell ref="L8:M8"/>
    <mergeCell ref="B2:D2"/>
    <mergeCell ref="F2:J2"/>
    <mergeCell ref="L2:O2"/>
    <mergeCell ref="F3:H3"/>
    <mergeCell ref="L3:M3"/>
    <mergeCell ref="F4:H4"/>
    <mergeCell ref="L4:M4"/>
  </mergeCells>
  <phoneticPr fontId="2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CASE 1</vt:lpstr>
      <vt:lpstr>AG CASE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Eluan Oliveira</dc:creator>
  <cp:lastModifiedBy>Eluan Oliveira</cp:lastModifiedBy>
  <dcterms:created xsi:type="dcterms:W3CDTF">2023-08-05T02:04:05Z</dcterms:created>
  <dcterms:modified xsi:type="dcterms:W3CDTF">2023-08-19T20:46:46Z</dcterms:modified>
</cp:coreProperties>
</file>